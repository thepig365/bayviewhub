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ec6e0e354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 Checklist" sheetId="1" r:id="R8899b71e45e745fc"/>
    <x:sheet xmlns:r="http://schemas.openxmlformats.org/officeDocument/2006/relationships" name="Weekly Tracker" sheetId="2" r:id="Rd4e45d85161a463b"/>
    <x:sheet xmlns:r="http://schemas.openxmlformats.org/officeDocument/2006/relationships" name="LLM Test Log" sheetId="3" r:id="R34ed737b9c8c42df"/>
    <x:sheet xmlns:r="http://schemas.openxmlformats.org/officeDocument/2006/relationships" name="Review 7-14-30" sheetId="4" r:id="Rd028ae39be854e89"/>
    <x:sheet xmlns:r="http://schemas.openxmlformats.org/officeDocument/2006/relationships" name="Monthly Scorecard" sheetId="5" r:id="R6eb0b59841534088"/>
    <x:sheet xmlns:r="http://schemas.openxmlformats.org/officeDocument/2006/relationships" name="Lists" sheetId="6" r:id="R35f1569aab2240f6"/>
  </x:sheets>
  <x:definedNames>
    <x:definedName name="PropertyList">Lists!$A$2:$A$6</x:definedName>
    <x:definedName name="ChannelList">Lists!$B$2:$B$10</x:definedName>
    <x:definedName name="PillarList">Lists!$C$2:$C$6</x:definedName>
    <x:definedName name="YesNoList">Lists!$D$2:$D$3</x:definedName>
    <x:definedName name="PlatformList">Lists!$E$2:$E$5</x:definedName>
    <x:definedName name="PromptTypeList">Lists!$F$2:$F$5</x:definedName>
    <x:definedName name="StatusList">Lists!$G$2:$G$5</x:definedName>
    <x:definedName name="_xlnm.Print_Area" localSheetId="0">'Operator Checklist'!$A$1:$H$38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-mmm-yy"/>
    <x:numFmt numFmtId="165" formatCode="0.0%"/>
  </x:numFmts>
  <x:fonts count="8">
    <x:font>
      <x:sz val="11"/>
      <x:color theme="1"/>
      <x:name val="Calibri"/>
      <x:family val="2"/>
      <x:scheme val="minor"/>
    </x:font>
    <x:font>
      <x:sz val="9"/>
      <x:color rgb="001F1F1F"/>
      <x:name val="Aptos"/>
    </x:font>
    <x:font>
      <x:b/>
      <x:sz val="16"/>
      <x:color rgb="00FFFFFF"/>
      <x:name val="Aptos"/>
    </x:font>
    <x:font>
      <x:b/>
      <x:sz val="11"/>
      <x:color rgb="00FFFFFF"/>
      <x:name val="Aptos"/>
    </x:font>
    <x:font>
      <x:sz val="9"/>
      <x:color rgb="000563C1"/>
      <x:name val="Aptos"/>
    </x:font>
    <x:font>
      <x:b/>
      <x:sz val="10"/>
      <x:color rgb="0016324F"/>
      <x:name val="Aptos"/>
    </x:font>
    <x:font>
      <x:sz val="8"/>
      <x:color rgb="00566573"/>
      <x:name val="Aptos"/>
    </x:font>
    <x:font>
      <x:sz val="9"/>
      <x:color rgb="0000000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0016324F"/>
      </x:patternFill>
    </x:fill>
    <x:fill>
      <x:patternFill patternType="solid">
        <x:fgColor rgb="00F4F6F7"/>
      </x:patternFill>
    </x:fill>
    <x:fill>
      <x:patternFill patternType="solid">
        <x:fgColor rgb="002A9D8F"/>
      </x:patternFill>
    </x:fill>
    <x:fill>
      <x:patternFill patternType="solid">
        <x:fgColor rgb="00EAF3FF"/>
      </x:patternFill>
    </x:fill>
    <x:fill>
      <x:patternFill patternType="solid">
        <x:fgColor rgb="002E8B57"/>
      </x:patternFill>
    </x:fill>
    <x:fill>
      <x:patternFill patternType="solid">
        <x:fgColor rgb="007B61A8"/>
      </x:patternFill>
    </x:fill>
    <x:fill>
      <x:patternFill patternType="solid">
        <x:fgColor rgb="00F4A261"/>
      </x:patternFill>
    </x:fill>
    <x:fill>
      <x:patternFill patternType="solid">
        <x:fgColor rgb="00FFFFFF"/>
      </x:patternFill>
    </x:fill>
    <x:fill>
      <x:patternFill patternType="solid">
        <x:fgColor rgb="00FFF1E6"/>
      </x:patternFill>
    </x:fill>
  </x:fills>
  <x:borders count="10">
    <x:border>
      <x:left/>
      <x:right/>
      <x:top/>
      <x:bottom/>
      <x:diagonal/>
    </x:border>
    <x:border>
      <x:bottom style="medium">
        <x:color rgb="0016324F"/>
      </x:bottom>
    </x:border>
    <x:border>
      <x:left style="thin">
        <x:color rgb="00D5DBDB"/>
      </x:left>
      <x:right style="thin">
        <x:color rgb="00D5DBDB"/>
      </x:right>
      <x:top style="thin">
        <x:color rgb="00D5DBDB"/>
      </x:top>
      <x:bottom style="thin">
        <x:color rgb="00D5DBDB"/>
      </x:bottom>
    </x:border>
    <x:border>
      <x:left/>
      <x:right/>
      <x:top style="thin">
        <x:color rgb="00D5DBDB"/>
      </x:top>
      <x:bottom/>
      <x:diagonal/>
    </x:border>
    <x:border>
      <x:left style="thin">
        <x:color rgb="00D5DBDB"/>
      </x:left>
      <x:right/>
      <x:top/>
      <x:bottom/>
      <x:diagonal/>
    </x:border>
    <x:border>
      <x:left/>
      <x:right style="thin">
        <x:color rgb="00D5DBDB"/>
      </x:right>
      <x:top style="thin">
        <x:color rgb="00D5DBDB"/>
      </x:top>
      <x:bottom/>
      <x:diagonal/>
    </x:border>
    <x:border>
      <x:left/>
      <x:right style="thin">
        <x:color rgb="00D5DBDB"/>
      </x:right>
      <x:top/>
      <x:bottom/>
      <x:diagonal/>
    </x:border>
    <x:border>
      <x:left style="thin">
        <x:color rgb="00D5DBDB"/>
      </x:left>
      <x:right/>
      <x:top/>
      <x:bottom style="thin">
        <x:color rgb="00D5DBDB"/>
      </x:bottom>
      <x:diagonal/>
    </x:border>
    <x:border>
      <x:left/>
      <x:right/>
      <x:top/>
      <x:bottom style="thin">
        <x:color rgb="00D5DBDB"/>
      </x:bottom>
      <x:diagonal/>
    </x:border>
    <x:border>
      <x:left/>
      <x:right style="thin">
        <x:color rgb="00D5DBDB"/>
      </x:right>
      <x:top/>
      <x:bottom style="thin">
        <x:color rgb="00D5DBDB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2" fillId="2" borderId="0" xfId="0" applyAlignment="1">
      <x:alignment horizontal="center" vertical="center" wrapText="1"/>
    </x:xf>
    <x:xf numFmtId="0" fontId="1" fillId="3" borderId="0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4" fillId="5" borderId="2" xfId="0" applyAlignment="1">
      <x:alignment horizontal="left" vertical="center" wrapText="1"/>
    </x:xf>
    <x:xf numFmtId="0" fontId="3" fillId="6" borderId="0" xfId="0" applyAlignment="1">
      <x:alignment horizontal="center" vertical="center" wrapText="1"/>
    </x:xf>
    <x:xf numFmtId="0" fontId="3" fillId="7" borderId="0" xfId="0" applyAlignment="1">
      <x:alignment horizontal="center" vertical="center" wrapText="1"/>
    </x:xf>
    <x:xf numFmtId="0" fontId="1" fillId="9" borderId="2" xfId="0" applyAlignment="1">
      <x:alignment horizontal="left" vertical="top" wrapText="1"/>
    </x:xf>
    <x:xf numFmtId="0" fontId="0" fillId="9" borderId="2" xfId="0"/>
    <x:xf numFmtId="0" fontId="3" fillId="8" borderId="0" xfId="0" applyAlignment="1">
      <x:alignment horizontal="center" vertical="center" wrapText="1"/>
    </x:xf>
    <x:xf numFmtId="0" fontId="3" fillId="4" borderId="0" xfId="0" applyAlignment="1">
      <x:alignment horizontal="center" vertical="center" wrapText="1"/>
    </x:xf>
    <x:xf numFmtId="0" fontId="3" fillId="2" borderId="0" xfId="0" applyAlignment="1">
      <x:alignment horizontal="center" vertical="center" wrapText="1"/>
    </x:xf>
    <x:xf numFmtId="0" fontId="5" fillId="3" borderId="2" xfId="0" applyAlignment="1">
      <x:alignment horizontal="center" vertical="center" wrapText="1"/>
    </x:xf>
    <x:xf numFmtId="0" fontId="6" fillId="0" borderId="2" xfId="0" applyAlignment="1">
      <x:alignment horizontal="left" vertical="top" wrapText="1"/>
    </x:xf>
    <x:xf numFmtId="0" fontId="0" fillId="5" borderId="2" xfId="0"/>
    <x:xf numFmtId="0" fontId="5" fillId="10" borderId="2" xfId="0" applyAlignment="1">
      <x:alignment horizontal="left" vertical="center" wrapText="1"/>
    </x:xf>
    <x:xf numFmtId="0" fontId="0" fillId="0" borderId="2" xfId="0"/>
    <x:xf numFmtId="0" fontId="3" fillId="4" borderId="2" xfId="0" applyAlignment="1">
      <x:alignment horizontal="center" vertical="center" wrapText="1"/>
    </x:xf>
    <x:xf numFmtId="164" fontId="4" fillId="5" borderId="2" xfId="0" applyAlignment="1">
      <x:alignment horizontal="left" vertical="center" wrapText="1"/>
    </x:xf>
    <x:xf numFmtId="1" fontId="4" fillId="5" borderId="2" xfId="0" applyAlignment="1">
      <x:alignment horizontal="center" vertical="center" wrapText="1"/>
    </x:xf>
    <x:xf numFmtId="165" fontId="7" fillId="9" borderId="2" xfId="0" applyAlignment="1">
      <x:alignment horizontal="center" vertical="center" wrapText="1"/>
    </x:xf>
    <x:xf numFmtId="165" fontId="4" fillId="5" borderId="2" xfId="0" applyAlignment="1">
      <x:alignment horizontal="center" vertical="center" wrapText="1"/>
    </x:xf>
    <x:xf numFmtId="1" fontId="7" fillId="9" borderId="2" xfId="0" applyAlignment="1">
      <x:alignment horizontal="center" vertical="center" wrapText="1"/>
    </x:xf>
    <x:xf numFmtId="0" fontId="3" fillId="7" borderId="2" xfId="0" applyAlignment="1">
      <x:alignment horizontal="center" vertical="center" wrapText="1"/>
    </x:xf>
    <x:xf numFmtId="164" fontId="4" fillId="5" borderId="2" xfId="0" applyAlignment="1">
      <x:alignment horizontal="center" vertical="center" wrapText="1"/>
    </x:xf>
    <x:xf numFmtId="0" fontId="4" fillId="5" borderId="2" xfId="0" applyAlignment="1">
      <x:alignment horizontal="center" vertical="center" wrapText="1"/>
    </x:xf>
    <x:xf numFmtId="0" fontId="3" fillId="8" borderId="2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7" fillId="0" borderId="2" xfId="0" applyAlignment="1">
      <x:alignment horizontal="center" vertical="center" wrapText="1"/>
    </x:xf>
    <x:xf numFmtId="0" fontId="1" fillId="0" borderId="0" xfId="0"/>
    <x:xf numFmtId="0" fontId="0" fillId="0" borderId="3" xfId="0"/>
    <x:xf numFmtId="0" fontId="0" fillId="0" borderId="5" xfId="0"/>
    <x:xf numFmtId="0" fontId="0" fillId="0" borderId="7" xfId="0"/>
    <x:xf numFmtId="0" fontId="0" fillId="0" borderId="8" xfId="0"/>
    <x:xf numFmtId="0" fontId="0" fillId="0" borderId="9" xfId="0"/>
    <x:xf numFmtId="0" fontId="0" fillId="0" borderId="4" xfId="0"/>
    <x:xf numFmtId="0" fontId="0" fillId="0" borderId="6" xfId="0"/>
    <x:xf numFmtId="164" fontId="4" fillId="5" borderId="2" xfId="0" applyAlignment="1">
      <x:alignment horizontal="left" vertical="center" wrapText="1"/>
    </x:xf>
    <x:xf numFmtId="165" fontId="7" fillId="9" borderId="2" xfId="0" applyAlignment="1">
      <x:alignment horizontal="center" vertical="center" wrapText="1"/>
    </x:xf>
    <x:xf numFmtId="165" fontId="4" fillId="5" borderId="2" xfId="0" applyAlignment="1">
      <x:alignment horizontal="center" vertical="center" wrapText="1"/>
    </x:xf>
    <x:xf numFmtId="164" fontId="4" fillId="5" borderId="2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40e2c3ddc4720" /><Relationship Type="http://schemas.openxmlformats.org/officeDocument/2006/relationships/theme" Target="/xl/theme/theme1.xml" Id="R9ba4c88eb20d4a33" /><Relationship Type="http://schemas.openxmlformats.org/officeDocument/2006/relationships/sharedStrings" Target="/xl/sharedStrings.xml" Id="Re179ad97cd19439c" /><Relationship Type="http://schemas.openxmlformats.org/officeDocument/2006/relationships/worksheet" Target="/xl/worksheets/sheet1.xml" Id="R8899b71e45e745fc" /><Relationship Type="http://schemas.openxmlformats.org/officeDocument/2006/relationships/worksheet" Target="/xl/worksheets/sheet2.xml" Id="Rd4e45d85161a463b" /><Relationship Type="http://schemas.openxmlformats.org/officeDocument/2006/relationships/worksheet" Target="/xl/worksheets/sheet3.xml" Id="R34ed737b9c8c42df" /><Relationship Type="http://schemas.openxmlformats.org/officeDocument/2006/relationships/worksheet" Target="/xl/worksheets/sheet4.xml" Id="Rd028ae39be854e89" /><Relationship Type="http://schemas.openxmlformats.org/officeDocument/2006/relationships/worksheet" Target="/xl/worksheets/sheet5.xml" Id="R6eb0b59841534088" /><Relationship Type="http://schemas.openxmlformats.org/officeDocument/2006/relationships/worksheet" Target="/xl/worksheets/sheet6.xml" Id="R35f1569aab2240f6" /></Relationships>
</file>

<file path=xl/tables/table1.xml><?xml version="1.0" encoding="utf-8"?>
<x:table xmlns:x="http://schemas.openxmlformats.org/spreadsheetml/2006/main" id="1" name="WeeklyTrackerTable" displayName="WeeklyTrackerTable" ref="A3:W29" headerRowCount="1">
  <x:autoFilter ref="A3:W29"/>
  <x:tableColumns count="23">
    <x:tableColumn id="1" name="Week Start"/>
    <x:tableColumn id="2" name="Primary Topic"/>
    <x:tableColumn id="3" name="Property"/>
    <x:tableColumn id="4" name="Canonical URL"/>
    <x:tableColumn id="5" name="Main Channel"/>
    <x:tableColumn id="6" name="External Mention Target"/>
    <x:tableColumn id="7" name="Pillar Focus"/>
    <x:tableColumn id="8" name="Impressions"/>
    <x:tableColumn id="9" name="Clicks"/>
    <x:tableColumn id="10" name="CTR"/>
    <x:tableColumn id="11" name="Engaged Sessions"/>
    <x:tableColumn id="12" name="Engaged Rate"/>
    <x:tableColumn id="13" name="CTA Clicks"/>
    <x:tableColumn id="14" name="CTA Rate"/>
    <x:tableColumn id="15" name="Enquiries"/>
    <x:tableColumn id="16" name="Enquiry Rate"/>
    <x:tableColumn id="17" name="New External Mentions"/>
    <x:tableColumn id="18" name="Referral Sessions"/>
    <x:tableColumn id="19" name="Branded Search Δ %"/>
    <x:tableColumn id="20" name="LLM Appearance Rate"/>
    <x:tableColumn id="21" name="Weekly Health"/>
    <x:tableColumn id="22" name="Notes"/>
    <x:tableColumn id="23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LLMTestTable" displayName="LLMTestTable" ref="A3:M39" headerRowCount="1">
  <x:autoFilter ref="A3:M39"/>
  <x:tableColumns count="13">
    <x:tableColumn id="1" name="Date"/>
    <x:tableColumn id="2" name="Platform"/>
    <x:tableColumn id="3" name="Prompt Type"/>
    <x:tableColumn id="4" name="Prompt"/>
    <x:tableColumn id="5" name="Property"/>
    <x:tableColumn id="6" name="Brand Mentioned"/>
    <x:tableColumn id="7" name="Topic Reflected"/>
    <x:tableColumn id="8" name="Accurate Positioning"/>
    <x:tableColumn id="9" name="Competitor Mentioned"/>
    <x:tableColumn id="10" name="Sources / Domains Cited"/>
    <x:tableColumn id="11" name="Visibility Score"/>
    <x:tableColumn id="12" name="Notes"/>
    <x:tableColumn id="13" name="Next Action"/>
  </x:tableColumns>
  <x:tableStyleInfo name="TableStyleMedium9" showRowStripes="1"/>
</x:table>
</file>

<file path=xl/tables/table3.xml><?xml version="1.0" encoding="utf-8"?>
<x:table xmlns:x="http://schemas.openxmlformats.org/spreadsheetml/2006/main" id="3" name="ReviewTable" displayName="ReviewTable" ref="A3:U23" headerRowCount="1">
  <x:autoFilter ref="A3:U23"/>
  <x:tableColumns count="21">
    <x:tableColumn id="1" name="Campaign Name"/>
    <x:tableColumn id="2" name="Property"/>
    <x:tableColumn id="3" name="Primary Topic"/>
    <x:tableColumn id="4" name="Canonical URL"/>
    <x:tableColumn id="5" name="Launch Date"/>
    <x:tableColumn id="6" name="7d Impr."/>
    <x:tableColumn id="7" name="7d Clicks"/>
    <x:tableColumn id="8" name="7d CTR"/>
    <x:tableColumn id="9" name="7d Enquiries"/>
    <x:tableColumn id="10" name="14d Impr."/>
    <x:tableColumn id="11" name="14d Clicks"/>
    <x:tableColumn id="12" name="14d CTR"/>
    <x:tableColumn id="13" name="14d Enquiries"/>
    <x:tableColumn id="14" name="30d Impr."/>
    <x:tableColumn id="15" name="30d Clicks"/>
    <x:tableColumn id="16" name="30d CTR"/>
    <x:tableColumn id="17" name="30d Enquiries"/>
    <x:tableColumn id="18" name="New External Mentions"/>
    <x:tableColumn id="19" name="LLM Pickup Improved?"/>
    <x:tableColumn id="20" name="What Failed"/>
    <x:tableColumn id="21" name="Next Change"/>
  </x:tableColumns>
  <x:tableStyleInfo name="TableStyleMedium10" showRowStripes="1"/>
</x:table>
</file>

<file path=xl/tables/table4.xml><?xml version="1.0" encoding="utf-8"?>
<x:table xmlns:x="http://schemas.openxmlformats.org/spreadsheetml/2006/main" id="4" name="MonthlyScoreTable" displayName="MonthlyScoreTable" ref="A3:H15" headerRowCount="1">
  <x:autoFilter ref="A3:H15"/>
  <x:tableColumns count="8">
    <x:tableColumn id="1" name="Month"/>
    <x:tableColumn id="2" name="Brand Citation"/>
    <x:tableColumn id="3" name="Topic Ownership"/>
    <x:tableColumn id="4" name="Proof &amp; Trust"/>
    <x:tableColumn id="5" name="Distribution &amp; Feedback"/>
    <x:tableColumn id="6" name="Total"/>
    <x:tableColumn id="7" name="Status"/>
    <x:tableColumn id="8" name="Priority Fix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683c17208b49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2457b12a594a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30ac90eb245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33efb4ab1d455a" /></Relationships>
</file>

<file path=xl/worksheets/sheet1.xml><?xml version="1.0" encoding="utf-8"?>
<x:worksheet xmlns:x="http://schemas.openxmlformats.org/spreadsheetml/2006/main">
  <x:sheetPr>
    <x:tabColor rgb="0016324F"/>
  </x:sheetPr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8" customHeight="1">
      <x:c r="A1" s="1" t="inlineStr">
        <x:is>
          <x:t xml:space="preserve">Promotion Operator Checklist + Performance Review</x:t>
        </x:is>
      </x:c>
    </x:row>
    <x:row r="2" ht="24" customHeight="1">
      <x:c r="A2" s="2" t="inlineStr">
        <x:is>
          <x:t xml:space="preserve">Use this before any promotion cycle. The job is not to post more; the job is to strengthen citation, topic ownership, trust, and measurable pickup.</x:t>
        </x:is>
      </x:c>
    </x:row>
    <x:row r="3" ht="22" customHeight="1"/>
    <x:row r="4" ht="22" customHeight="1">
      <x:c r="A4" s="3" t="inlineStr">
        <x:is>
          <x:t xml:space="preserve">Campaign Date</x:t>
        </x:is>
      </x:c>
      <x:c r="B4" s="3" t="inlineStr">
        <x:is>
          <x:t xml:space="preserve">Property</x:t>
        </x:is>
      </x:c>
      <x:c r="C4" s="3" t="inlineStr">
        <x:is>
          <x:t xml:space="preserve">Primary Topic</x:t>
        </x:is>
      </x:c>
      <x:c r="D4" s="3" t="inlineStr">
        <x:is>
          <x:t xml:space="preserve">Canonical URL</x:t>
        </x:is>
      </x:c>
      <x:c r="E4" s="3" t="inlineStr">
        <x:is>
          <x:t xml:space="preserve">Main CTA</x:t>
        </x:is>
      </x:c>
      <x:c r="F4" s="3" t="inlineStr">
        <x:is>
          <x:t xml:space="preserve">UTM Ready?</x:t>
        </x:is>
      </x:c>
      <x:c r="G4" s="3" t="inlineStr">
        <x:is>
          <x:t xml:space="preserve">Evidence Asset</x:t>
        </x:is>
      </x:c>
      <x:c r="H4" s="3" t="inlineStr">
        <x:is>
          <x:t xml:space="preserve">Owner</x:t>
        </x:is>
      </x:c>
    </x:row>
    <x:row r="5" ht="26" customHeight="1">
      <x:c r="A5" s="4" t="inlineStr">
        <x:is>
          <x:t xml:space="preserve"/>
        </x:is>
      </x:c>
      <x:c r="B5" s="4" t="inlineStr">
        <x:is>
          <x:t xml:space="preserve"/>
        </x:is>
      </x:c>
      <x:c r="C5" s="4" t="inlineStr">
        <x:is>
          <x:t xml:space="preserve"/>
        </x:is>
      </x:c>
      <x:c r="D5" s="4" t="inlineStr">
        <x:is>
          <x:t xml:space="preserve"/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4" t="inlineStr">
        <x:is>
          <x:t xml:space="preserve"/>
        </x:is>
      </x:c>
      <x:c r="H5" s="4" t="inlineStr">
        <x:is>
          <x:t xml:space="preserve"/>
        </x:is>
      </x:c>
    </x:row>
    <x:row r="6" ht="22" customHeight="1"/>
    <x:row r="7" ht="22" customHeight="1">
      <x:c r="A7" s="5" t="inlineStr">
        <x:is>
          <x:t xml:space="preserve">1. Brand Citation Layer</x:t>
        </x:is>
      </x:c>
      <x:c r="E7" s="6" t="inlineStr">
        <x:is>
          <x:t xml:space="preserve">2. Topic Ownership Layer</x:t>
        </x:is>
      </x:c>
    </x:row>
    <x:row r="8" ht="22" customHeight="1">
      <x:c r="A8" s="7" t="inlineStr">
        <x:is>
          <x:t xml:space="preserve">☐ Core description is stable across site, profile, post, and external listing.</x:t>
        </x:is>
      </x:c>
      <x:c r="B8" s="30" t="n"/>
      <x:c r="C8" s="30" t="n"/>
      <x:c r="D8" s="31" t="n"/>
      <x:c r="E8" s="7" t="inlineStr">
        <x:is>
          <x:t xml:space="preserve">☐ One primary topic only. No split focus.</x:t>
        </x:is>
      </x:c>
      <x:c r="F8" s="30" t="n"/>
      <x:c r="G8" s="30" t="n"/>
      <x:c r="H8" s="31" t="n"/>
    </x:row>
    <x:row r="9" ht="22" customHeight="1">
      <x:c r="A9" s="32" t="n"/>
      <x:c r="B9" s="33" t="n"/>
      <x:c r="C9" s="33" t="n"/>
      <x:c r="D9" s="34" t="n"/>
      <x:c r="E9" s="32" t="n"/>
      <x:c r="F9" s="33" t="n"/>
      <x:c r="G9" s="33" t="n"/>
      <x:c r="H9" s="34" t="n"/>
    </x:row>
    <x:row r="10" ht="22" customHeight="1">
      <x:c r="A10" s="7" t="inlineStr">
        <x:is>
          <x:t xml:space="preserve">☐ At least 1 short paragraph and 3 factual bullets exist for citation-ready wording.</x:t>
        </x:is>
      </x:c>
      <x:c r="B10" s="30" t="n"/>
      <x:c r="C10" s="30" t="n"/>
      <x:c r="D10" s="31" t="n"/>
      <x:c r="E10" s="7" t="inlineStr">
        <x:is>
          <x:t xml:space="preserve">☐ One canonical page only. No sending traffic to random URLs.</x:t>
        </x:is>
      </x:c>
      <x:c r="F10" s="30" t="n"/>
      <x:c r="G10" s="30" t="n"/>
      <x:c r="H10" s="31" t="n"/>
    </x:row>
    <x:row r="11" ht="22" customHeight="1">
      <x:c r="A11" s="32" t="n"/>
      <x:c r="B11" s="33" t="n"/>
      <x:c r="C11" s="33" t="n"/>
      <x:c r="D11" s="34" t="n"/>
      <x:c r="E11" s="32" t="n"/>
      <x:c r="F11" s="33" t="n"/>
      <x:c r="G11" s="33" t="n"/>
      <x:c r="H11" s="34" t="n"/>
    </x:row>
    <x:row r="12" ht="22" customHeight="1">
      <x:c r="A12" s="7" t="inlineStr">
        <x:is>
          <x:t xml:space="preserve">☐ This campaign includes at least 1 external mention target beyond owned channels.</x:t>
        </x:is>
      </x:c>
      <x:c r="B12" s="30" t="n"/>
      <x:c r="C12" s="30" t="n"/>
      <x:c r="D12" s="31" t="n"/>
      <x:c r="E12" s="7" t="inlineStr">
        <x:is>
          <x:t xml:space="preserve">☐ Page H1, subhead, audience, and CTA are explicit.</x:t>
        </x:is>
      </x:c>
      <x:c r="F12" s="30" t="n"/>
      <x:c r="G12" s="30" t="n"/>
      <x:c r="H12" s="31" t="n"/>
    </x:row>
    <x:row r="13" ht="22" customHeight="1">
      <x:c r="A13" s="32" t="n"/>
      <x:c r="B13" s="33" t="n"/>
      <x:c r="C13" s="33" t="n"/>
      <x:c r="D13" s="34" t="n"/>
      <x:c r="E13" s="32" t="n"/>
      <x:c r="F13" s="33" t="n"/>
      <x:c r="G13" s="33" t="n"/>
      <x:c r="H13" s="34" t="n"/>
    </x:row>
    <x:row r="14" ht="22" customHeight="1">
      <x:c r="A14" s="7" t="inlineStr">
        <x:is>
          <x:t xml:space="preserve">☐ Brand wording is specific enough to be copied by a third party without distortion.</x:t>
        </x:is>
      </x:c>
      <x:c r="B14" s="30" t="n"/>
      <x:c r="C14" s="30" t="n"/>
      <x:c r="D14" s="31" t="n"/>
      <x:c r="E14" s="7" t="inlineStr">
        <x:is>
          <x:t xml:space="preserve">☐ Three support angles exist: educational, proof, opinion.</x:t>
        </x:is>
      </x:c>
      <x:c r="F14" s="30" t="n"/>
      <x:c r="G14" s="30" t="n"/>
      <x:c r="H14" s="31" t="n"/>
    </x:row>
    <x:row r="15" ht="22" customHeight="1">
      <x:c r="A15" s="32" t="n"/>
      <x:c r="B15" s="33" t="n"/>
      <x:c r="C15" s="33" t="n"/>
      <x:c r="D15" s="34" t="n"/>
      <x:c r="E15" s="32" t="n"/>
      <x:c r="F15" s="33" t="n"/>
      <x:c r="G15" s="33" t="n"/>
      <x:c r="H15" s="34" t="n"/>
    </x:row>
    <x:row r="16" ht="22" customHeight="1">
      <x:c r="A16" s="7" t="inlineStr">
        <x:is>
          <x:t xml:space="preserve">☐ New mentions will be logged after publishing.</x:t>
        </x:is>
      </x:c>
      <x:c r="B16" s="30" t="n"/>
      <x:c r="C16" s="30" t="n"/>
      <x:c r="D16" s="31" t="n"/>
      <x:c r="E16" s="7" t="inlineStr">
        <x:is>
          <x:t xml:space="preserve">☐ Internal links support the same topic cluster.</x:t>
        </x:is>
      </x:c>
      <x:c r="F16" s="30" t="n"/>
      <x:c r="G16" s="30" t="n"/>
      <x:c r="H16" s="31" t="n"/>
    </x:row>
    <x:row r="17" ht="22" customHeight="1">
      <x:c r="A17" s="32" t="n"/>
      <x:c r="B17" s="33" t="n"/>
      <x:c r="C17" s="33" t="n"/>
      <x:c r="D17" s="34" t="n"/>
      <x:c r="E17" s="32" t="n"/>
      <x:c r="F17" s="33" t="n"/>
      <x:c r="G17" s="33" t="n"/>
      <x:c r="H17" s="34" t="n"/>
    </x:row>
    <x:row r="18" ht="22" customHeight="1"/>
    <x:row r="19" ht="22" customHeight="1">
      <x:c r="A19" s="9" t="inlineStr">
        <x:is>
          <x:t xml:space="preserve">3. Proof &amp; Trust Layer</x:t>
        </x:is>
      </x:c>
      <x:c r="E19" s="10" t="inlineStr">
        <x:is>
          <x:t xml:space="preserve">4. Distribution &amp; Feedback Layer</x:t>
        </x:is>
      </x:c>
    </x:row>
    <x:row r="20" ht="22" customHeight="1">
      <x:c r="A20" s="7" t="inlineStr">
        <x:is>
          <x:t xml:space="preserve">☐ Claims on the page have been labeled: proof / framing / fluff / risky.</x:t>
        </x:is>
      </x:c>
      <x:c r="B20" s="30" t="n"/>
      <x:c r="C20" s="30" t="n"/>
      <x:c r="D20" s="31" t="n"/>
      <x:c r="E20" s="7" t="inlineStr">
        <x:is>
          <x:t xml:space="preserve">☐ Distribution mix covers owned + social + external.</x:t>
        </x:is>
      </x:c>
      <x:c r="F20" s="30" t="n"/>
      <x:c r="G20" s="30" t="n"/>
      <x:c r="H20" s="31" t="n"/>
    </x:row>
    <x:row r="21" ht="22" customHeight="1">
      <x:c r="A21" s="32" t="n"/>
      <x:c r="B21" s="33" t="n"/>
      <x:c r="C21" s="33" t="n"/>
      <x:c r="D21" s="34" t="n"/>
      <x:c r="E21" s="32" t="n"/>
      <x:c r="F21" s="33" t="n"/>
      <x:c r="G21" s="33" t="n"/>
      <x:c r="H21" s="34" t="n"/>
    </x:row>
    <x:row r="22" ht="22" customHeight="1">
      <x:c r="A22" s="7" t="inlineStr">
        <x:is>
          <x:t xml:space="preserve">☐ At least one evidence block exists: FAQ, process, case, sources, or constraints.</x:t>
        </x:is>
      </x:c>
      <x:c r="B22" s="30" t="n"/>
      <x:c r="C22" s="30" t="n"/>
      <x:c r="D22" s="31" t="n"/>
      <x:c r="E22" s="7" t="inlineStr">
        <x:is>
          <x:t xml:space="preserve">☐ UTM links are ready for every shared URL.</x:t>
        </x:is>
      </x:c>
      <x:c r="F22" s="30" t="n"/>
      <x:c r="G22" s="30" t="n"/>
      <x:c r="H22" s="31" t="n"/>
    </x:row>
    <x:row r="23" ht="22" customHeight="1">
      <x:c r="A23" s="32" t="n"/>
      <x:c r="B23" s="33" t="n"/>
      <x:c r="C23" s="33" t="n"/>
      <x:c r="D23" s="34" t="n"/>
      <x:c r="E23" s="32" t="n"/>
      <x:c r="F23" s="33" t="n"/>
      <x:c r="G23" s="33" t="n"/>
      <x:c r="H23" s="34" t="n"/>
    </x:row>
    <x:row r="24" ht="22" customHeight="1">
      <x:c r="A24" s="7" t="inlineStr">
        <x:is>
          <x:t xml:space="preserve">☐ The page states what this is not. Boundaries are visible.</x:t>
        </x:is>
      </x:c>
      <x:c r="B24" s="30" t="n"/>
      <x:c r="C24" s="30" t="n"/>
      <x:c r="D24" s="31" t="n"/>
      <x:c r="E24" s="7" t="inlineStr">
        <x:is>
          <x:t xml:space="preserve">☐ 7 / 14 / 30 day review dates are scheduled.</x:t>
        </x:is>
      </x:c>
      <x:c r="F24" s="30" t="n"/>
      <x:c r="G24" s="30" t="n"/>
      <x:c r="H24" s="31" t="n"/>
    </x:row>
    <x:row r="25" ht="22" customHeight="1">
      <x:c r="A25" s="32" t="n"/>
      <x:c r="B25" s="33" t="n"/>
      <x:c r="C25" s="33" t="n"/>
      <x:c r="D25" s="34" t="n"/>
      <x:c r="E25" s="32" t="n"/>
      <x:c r="F25" s="33" t="n"/>
      <x:c r="G25" s="33" t="n"/>
      <x:c r="H25" s="34" t="n"/>
    </x:row>
    <x:row r="26" ht="22" customHeight="1">
      <x:c r="A26" s="7" t="inlineStr">
        <x:is>
          <x:t xml:space="preserve">☐ Real photos, records, examples, or process details are present where relevant.</x:t>
        </x:is>
      </x:c>
      <x:c r="B26" s="30" t="n"/>
      <x:c r="C26" s="30" t="n"/>
      <x:c r="D26" s="31" t="n"/>
      <x:c r="E26" s="7" t="inlineStr">
        <x:is>
          <x:t xml:space="preserve">☐ Prompt tests are prepared for ChatGPT, Perplexity, Gemini, and Claude.</x:t>
        </x:is>
      </x:c>
      <x:c r="F26" s="30" t="n"/>
      <x:c r="G26" s="30" t="n"/>
      <x:c r="H26" s="31" t="n"/>
    </x:row>
    <x:row r="27" ht="22" customHeight="1">
      <x:c r="A27" s="32" t="n"/>
      <x:c r="B27" s="33" t="n"/>
      <x:c r="C27" s="33" t="n"/>
      <x:c r="D27" s="34" t="n"/>
      <x:c r="E27" s="32" t="n"/>
      <x:c r="F27" s="33" t="n"/>
      <x:c r="G27" s="33" t="n"/>
      <x:c r="H27" s="34" t="n"/>
    </x:row>
    <x:row r="28" ht="22" customHeight="1">
      <x:c r="A28" s="7" t="inlineStr">
        <x:is>
          <x:t xml:space="preserve">☐ Likely objections are answered before the CTA.</x:t>
        </x:is>
      </x:c>
      <x:c r="B28" s="30" t="n"/>
      <x:c r="C28" s="30" t="n"/>
      <x:c r="D28" s="31" t="n"/>
      <x:c r="E28" s="7" t="inlineStr">
        <x:is>
          <x:t xml:space="preserve">☐ Success metric is defined before publishing.</x:t>
        </x:is>
      </x:c>
      <x:c r="F28" s="30" t="n"/>
      <x:c r="G28" s="30" t="n"/>
      <x:c r="H28" s="31" t="n"/>
    </x:row>
    <x:row r="29" ht="22" customHeight="1">
      <x:c r="A29" s="32" t="n"/>
      <x:c r="B29" s="33" t="n"/>
      <x:c r="C29" s="33" t="n"/>
      <x:c r="D29" s="34" t="n"/>
      <x:c r="E29" s="32" t="n"/>
      <x:c r="F29" s="33" t="n"/>
      <x:c r="G29" s="33" t="n"/>
      <x:c r="H29" s="34" t="n"/>
    </x:row>
    <x:row r="30" ht="22" customHeight="1"/>
    <x:row r="31" ht="22" customHeight="1">
      <x:c r="A31" s="11" t="inlineStr">
        <x:is>
          <x:t xml:space="preserve">Pre-publish Gate</x:t>
        </x:is>
      </x:c>
    </x:row>
    <x:row r="32" ht="22" customHeight="1">
      <x:c r="A32" s="12" t="inlineStr">
        <x:is>
          <x:t xml:space="preserve">Page</x:t>
        </x:is>
      </x:c>
      <x:c r="B32" s="12" t="inlineStr">
        <x:is>
          <x:t xml:space="preserve">Proof</x:t>
        </x:is>
      </x:c>
      <x:c r="C32" s="12" t="inlineStr">
        <x:is>
          <x:t xml:space="preserve">Distribution</x:t>
        </x:is>
      </x:c>
      <x:c r="D32" s="12" t="inlineStr">
        <x:is>
          <x:t xml:space="preserve">Tracking</x:t>
        </x:is>
      </x:c>
      <x:c r="E32" s="12" t="inlineStr">
        <x:is>
          <x:t xml:space="preserve">LLM Check</x:t>
        </x:is>
      </x:c>
      <x:c r="F32" s="12" t="inlineStr">
        <x:is>
          <x:t xml:space="preserve">7-Day Review</x:t>
        </x:is>
      </x:c>
      <x:c r="G32" s="12" t="inlineStr">
        <x:is>
          <x:t xml:space="preserve">14-Day Review</x:t>
        </x:is>
      </x:c>
      <x:c r="H32" s="12" t="inlineStr">
        <x:is>
          <x:t xml:space="preserve">30-Day Review</x:t>
        </x:is>
      </x:c>
    </x:row>
    <x:row r="33" ht="22" customHeight="1">
      <x:c r="A33" s="13" t="inlineStr">
        <x:is>
          <x:t xml:space="preserve">Clear H1, audience, one CTA, no legal overclaim.</x:t>
        </x:is>
      </x:c>
      <x:c r="B33" s="13" t="inlineStr">
        <x:is>
          <x:t xml:space="preserve">Evidence block and FAQ/constraints are visible.</x:t>
        </x:is>
      </x:c>
      <x:c r="C33" s="13" t="inlineStr">
        <x:is>
          <x:t xml:space="preserve">Channel plan and external mention target chosen.</x:t>
        </x:is>
      </x:c>
      <x:c r="D33" s="13" t="inlineStr">
        <x:is>
          <x:t xml:space="preserve">Analytics events and UTM parameters are working.</x:t>
        </x:is>
      </x:c>
      <x:c r="E33" s="13" t="inlineStr">
        <x:is>
          <x:t xml:space="preserve">Brand, topic, and source prompts are ready.</x:t>
        </x:is>
      </x:c>
      <x:c r="F33" s="13" t="inlineStr">
        <x:is>
          <x:t xml:space="preserve">Record early traction: impressions, clicks, referral, CTA.</x:t>
        </x:is>
      </x:c>
      <x:c r="G33" s="13" t="inlineStr">
        <x:is>
          <x:t xml:space="preserve">Check quality: engagement, objections, topic match.</x:t>
        </x:is>
      </x:c>
      <x:c r="H33" s="13" t="inlineStr">
        <x:is>
          <x:t xml:space="preserve">Check whether the signal stuck and what to change.</x:t>
        </x:is>
      </x:c>
    </x:row>
    <x:row r="34" ht="22" customHeight="1">
      <x:c r="A34" s="14" t="inlineStr">
        <x:is>
          <x:t xml:space="preserve"/>
        </x:is>
      </x:c>
      <x:c r="B34" s="14" t="inlineStr">
        <x:is>
          <x:t xml:space="preserve"/>
        </x:is>
      </x:c>
      <x:c r="C34" s="14" t="inlineStr">
        <x:is>
          <x:t xml:space="preserve"/>
        </x:is>
      </x:c>
      <x:c r="D34" s="14" t="inlineStr">
        <x:is>
          <x:t xml:space="preserve"/>
        </x:is>
      </x:c>
      <x:c r="E34" s="14" t="inlineStr">
        <x:is>
          <x:t xml:space="preserve"/>
        </x:is>
      </x:c>
      <x:c r="F34" s="14" t="inlineStr">
        <x:is>
          <x:t xml:space="preserve"/>
        </x:is>
      </x:c>
      <x:c r="G34" s="14" t="inlineStr">
        <x:is>
          <x:t xml:space="preserve"/>
        </x:is>
      </x:c>
      <x:c r="H34" s="14" t="inlineStr">
        <x:is>
          <x:t xml:space="preserve"/>
        </x:is>
      </x:c>
    </x:row>
    <x:row r="35" ht="22" customHeight="1"/>
    <x:row r="36" ht="22" customHeight="1">
      <x:c r="A36" s="15" t="inlineStr">
        <x:is>
          <x:t xml:space="preserve">Core rule: if a promotional action does not make you easier to cite, stronger on one topic, more believable, or easier to measure, it is probably noise.</x:t>
        </x:is>
      </x:c>
      <x:c r="B36" s="30" t="n"/>
      <x:c r="C36" s="30" t="n"/>
      <x:c r="D36" s="30" t="n"/>
      <x:c r="E36" s="30" t="n"/>
      <x:c r="F36" s="30" t="n"/>
      <x:c r="G36" s="30" t="n"/>
      <x:c r="H36" s="31" t="n"/>
    </x:row>
    <x:row r="37" ht="22" customHeight="1">
      <x:c r="A37" s="35" t="n"/>
      <x:c r="H37" s="36" t="n"/>
    </x:row>
    <x:row r="38" ht="22" customHeight="1">
      <x:c r="A38" s="32" t="n"/>
      <x:c r="B38" s="33" t="n"/>
      <x:c r="C38" s="33" t="n"/>
      <x:c r="D38" s="33" t="n"/>
      <x:c r="E38" s="33" t="n"/>
      <x:c r="F38" s="33" t="n"/>
      <x:c r="G38" s="33" t="n"/>
      <x:c r="H38" s="34" t="n"/>
    </x:row>
  </x:sheetData>
  <x:mergeCells>
    <x:mergeCell ref="E14:H15"/>
    <x:mergeCell ref="A24:D25"/>
    <x:mergeCell ref="E8:H9"/>
    <x:mergeCell ref="A16:D17"/>
    <x:mergeCell ref="E20:H21"/>
    <x:mergeCell ref="E7:H7"/>
    <x:mergeCell ref="A19:D19"/>
    <x:mergeCell ref="A1:H1"/>
    <x:mergeCell ref="A36:H38"/>
    <x:mergeCell ref="E10:H11"/>
    <x:mergeCell ref="A12:D13"/>
    <x:mergeCell ref="A26:D27"/>
    <x:mergeCell ref="E28:H29"/>
    <x:mergeCell ref="A14:D15"/>
    <x:mergeCell ref="A8:D9"/>
    <x:mergeCell ref="A22:D23"/>
    <x:mergeCell ref="A2:H2"/>
    <x:mergeCell ref="A20:D21"/>
    <x:mergeCell ref="A7:D7"/>
    <x:mergeCell ref="E16:H17"/>
    <x:mergeCell ref="E19:H19"/>
    <x:mergeCell ref="A10:D11"/>
    <x:mergeCell ref="E26:H27"/>
    <x:mergeCell ref="A28:D29"/>
    <x:mergeCell ref="E12:H13"/>
    <x:mergeCell ref="E22:H23"/>
    <x:mergeCell ref="E24:H25"/>
    <x:mergeCell ref="A31:H31"/>
  </x:mergeCells>
  <x:dataValidations count="2">
    <x:dataValidation type="list" allowBlank="1" showDropDown="0" showInputMessage="0" showErrorMessage="0" sqref="B5">
      <x:formula1>=PropertyList</x:formula1>
    </x:dataValidation>
    <x:dataValidation type="list" allowBlank="1" showDropDown="0" showInputMessage="0" showErrorMessage="0" sqref="F5">
      <x:formula1>=YesNoList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2A9D8F"/>
  </x:sheetPr>
  <x:sheetViews>
    <x:sheetView showGridLines="0" workbookViewId="0"/>
  </x:sheetViews>
  <x:sheetFormatPr baseColWidth="8" defaultRowHeight="15"/>
  <x:cols>
    <x:col min="1" max="1" width="12" customWidth="1"/>
    <x:col min="2" max="2" width="22" customWidth="1"/>
    <x:col min="3" max="3" width="16" customWidth="1"/>
    <x:col min="4" max="4" width="28" customWidth="1"/>
    <x:col min="5" max="5" width="16" customWidth="1"/>
    <x:col min="6" max="6" width="24" customWidth="1"/>
    <x:col min="7" max="7" width="18" customWidth="1"/>
    <x:col min="8" max="8" width="12" customWidth="1"/>
    <x:col min="9" max="9" width="10" customWidth="1"/>
    <x:col min="10" max="10" width="10" customWidth="1"/>
    <x:col min="11" max="11" width="15" customWidth="1"/>
    <x:col min="12" max="12" width="12" customWidth="1"/>
    <x:col min="13" max="13" width="11" customWidth="1"/>
    <x:col min="14" max="14" width="10" customWidth="1"/>
    <x:col min="15" max="15" width="10" customWidth="1"/>
    <x:col min="16" max="16" width="11" customWidth="1"/>
    <x:col min="17" max="17" width="14" customWidth="1"/>
    <x:col min="18" max="18" width="14" customWidth="1"/>
    <x:col min="19" max="19" width="16" customWidth="1"/>
    <x:col min="20" max="20" width="15" customWidth="1"/>
    <x:col min="21" max="21" width="12" customWidth="1"/>
    <x:col min="22" max="22" width="24" customWidth="1"/>
    <x:col min="23" max="23" width="24" customWidth="1"/>
  </x:cols>
  <x:sheetData>
    <x:row r="1">
      <x:c r="A1" s="1" t="inlineStr">
        <x:is>
          <x:t xml:space="preserve">Weekly Promotion Tracker</x:t>
        </x:is>
      </x:c>
    </x:row>
    <x:row r="2">
      <x:c r="A2" s="2" t="inlineStr">
        <x:is>
          <x:t xml:space="preserve">Enter weekly promotion data. Blue cells are manual inputs. Formula columns stay blank until inputs are added.</x:t>
        </x:is>
      </x:c>
    </x:row>
    <x:row r="3">
      <x:c r="A3" s="17" t="inlineStr">
        <x:is>
          <x:t xml:space="preserve">Week Start</x:t>
        </x:is>
      </x:c>
      <x:c r="B3" s="17" t="inlineStr">
        <x:is>
          <x:t xml:space="preserve">Primary Topic</x:t>
        </x:is>
      </x:c>
      <x:c r="C3" s="17" t="inlineStr">
        <x:is>
          <x:t xml:space="preserve">Property</x:t>
        </x:is>
      </x:c>
      <x:c r="D3" s="17" t="inlineStr">
        <x:is>
          <x:t xml:space="preserve">Canonical URL</x:t>
        </x:is>
      </x:c>
      <x:c r="E3" s="17" t="inlineStr">
        <x:is>
          <x:t xml:space="preserve">Main Channel</x:t>
        </x:is>
      </x:c>
      <x:c r="F3" s="17" t="inlineStr">
        <x:is>
          <x:t xml:space="preserve">External Mention Target</x:t>
        </x:is>
      </x:c>
      <x:c r="G3" s="17" t="inlineStr">
        <x:is>
          <x:t xml:space="preserve">Pillar Focus</x:t>
        </x:is>
      </x:c>
      <x:c r="H3" s="17" t="inlineStr">
        <x:is>
          <x:t xml:space="preserve">Impressions</x:t>
        </x:is>
      </x:c>
      <x:c r="I3" s="17" t="inlineStr">
        <x:is>
          <x:t xml:space="preserve">Clicks</x:t>
        </x:is>
      </x:c>
      <x:c r="J3" s="17" t="inlineStr">
        <x:is>
          <x:t xml:space="preserve">CTR</x:t>
        </x:is>
      </x:c>
      <x:c r="K3" s="17" t="inlineStr">
        <x:is>
          <x:t xml:space="preserve">Engaged Sessions</x:t>
        </x:is>
      </x:c>
      <x:c r="L3" s="17" t="inlineStr">
        <x:is>
          <x:t xml:space="preserve">Engaged Rate</x:t>
        </x:is>
      </x:c>
      <x:c r="M3" s="17" t="inlineStr">
        <x:is>
          <x:t xml:space="preserve">CTA Clicks</x:t>
        </x:is>
      </x:c>
      <x:c r="N3" s="17" t="inlineStr">
        <x:is>
          <x:t xml:space="preserve">CTA Rate</x:t>
        </x:is>
      </x:c>
      <x:c r="O3" s="17" t="inlineStr">
        <x:is>
          <x:t xml:space="preserve">Enquiries</x:t>
        </x:is>
      </x:c>
      <x:c r="P3" s="17" t="inlineStr">
        <x:is>
          <x:t xml:space="preserve">Enquiry Rate</x:t>
        </x:is>
      </x:c>
      <x:c r="Q3" s="17" t="inlineStr">
        <x:is>
          <x:t xml:space="preserve">New External Mentions</x:t>
        </x:is>
      </x:c>
      <x:c r="R3" s="17" t="inlineStr">
        <x:is>
          <x:t xml:space="preserve">Referral Sessions</x:t>
        </x:is>
      </x:c>
      <x:c r="S3" s="17" t="inlineStr">
        <x:is>
          <x:t xml:space="preserve">Branded Search Δ %</x:t>
        </x:is>
      </x:c>
      <x:c r="T3" s="17" t="inlineStr">
        <x:is>
          <x:t xml:space="preserve">LLM Appearance Rate</x:t>
        </x:is>
      </x:c>
      <x:c r="U3" s="17" t="inlineStr">
        <x:is>
          <x:t xml:space="preserve">Weekly Health</x:t>
        </x:is>
      </x:c>
      <x:c r="V3" s="17" t="inlineStr">
        <x:is>
          <x:t xml:space="preserve">Notes</x:t>
        </x:is>
      </x:c>
      <x:c r="W3" s="17" t="inlineStr">
        <x:is>
          <x:t xml:space="preserve">Next Action</x:t>
        </x:is>
      </x:c>
    </x:row>
    <x:row r="4" ht="22" customHeight="1">
      <x:c r="A4" s="37" t="n"/>
      <x:c r="B4" s="4" t="n"/>
      <x:c r="C4" s="4" t="n"/>
      <x:c r="D4" s="4" t="n"/>
      <x:c r="E4" s="4" t="n"/>
      <x:c r="F4" s="4" t="n"/>
      <x:c r="G4" s="4" t="n"/>
      <x:c r="H4" s="19" t="n"/>
      <x:c r="I4" s="19" t="n"/>
      <x:c r="J4" s="38">
        <x:f>IF(COUNTA(H4:I4)=0,"",IFERROR(I4/H4,0))</x:f>
      </x:c>
      <x:c r="K4" s="19" t="n"/>
      <x:c r="L4" s="38">
        <x:f>IF(COUNTA(I4,K4)=0,"",IFERROR(K4/I4,0))</x:f>
      </x:c>
      <x:c r="M4" s="19" t="n"/>
      <x:c r="N4" s="38">
        <x:f>IF(COUNTA(K4,M4)=0,"",IFERROR(M4/K4,0))</x:f>
      </x:c>
      <x:c r="O4" s="19" t="n"/>
      <x:c r="P4" s="38">
        <x:f>IF(COUNTA(K4,O4)=0,"",IFERROR(O4/K4,0))</x:f>
      </x:c>
      <x:c r="Q4" s="19" t="n"/>
      <x:c r="R4" s="19" t="n"/>
      <x:c r="S4" s="39" t="n"/>
      <x:c r="T4" s="39" t="n"/>
      <x:c r="U4" s="22">
        <x:f>IF(COUNTA(H4,I4,K4,M4,O4,Q4,R4,S4,T4)=0,"",ROUND((MIN(1,IFERROR(J4/0.02,0))*25 + MIN(1,IFERROR(N4/0.05,0))*25 + MIN(1,IFERROR(P4/0.05,0))*25 + MIN(1,IFERROR(T4/0.50,0))*25),0))</x:f>
      </x:c>
      <x:c r="V4" s="4" t="n"/>
      <x:c r="W4" s="4" t="n"/>
    </x:row>
    <x:row r="5" ht="22" customHeight="1">
      <x:c r="A5" s="37" t="n"/>
      <x:c r="B5" s="4" t="n"/>
      <x:c r="C5" s="4" t="n"/>
      <x:c r="D5" s="4" t="n"/>
      <x:c r="E5" s="4" t="n"/>
      <x:c r="F5" s="4" t="n"/>
      <x:c r="G5" s="4" t="n"/>
      <x:c r="H5" s="19" t="n"/>
      <x:c r="I5" s="19" t="n"/>
      <x:c r="J5" s="38">
        <x:f>IF(COUNTA(H5:I5)=0,"",IFERROR(I5/H5,0))</x:f>
      </x:c>
      <x:c r="K5" s="19" t="n"/>
      <x:c r="L5" s="38">
        <x:f>IF(COUNTA(I5,K5)=0,"",IFERROR(K5/I5,0))</x:f>
      </x:c>
      <x:c r="M5" s="19" t="n"/>
      <x:c r="N5" s="38">
        <x:f>IF(COUNTA(K5,M5)=0,"",IFERROR(M5/K5,0))</x:f>
      </x:c>
      <x:c r="O5" s="19" t="n"/>
      <x:c r="P5" s="38">
        <x:f>IF(COUNTA(K5,O5)=0,"",IFERROR(O5/K5,0))</x:f>
      </x:c>
      <x:c r="Q5" s="19" t="n"/>
      <x:c r="R5" s="19" t="n"/>
      <x:c r="S5" s="39" t="n"/>
      <x:c r="T5" s="39" t="n"/>
      <x:c r="U5" s="22">
        <x:f>IF(COUNTA(H5,I5,K5,M5,O5,Q5,R5,S5,T5)=0,"",ROUND((MIN(1,IFERROR(J5/0.02,0))*25 + MIN(1,IFERROR(N5/0.05,0))*25 + MIN(1,IFERROR(P5/0.05,0))*25 + MIN(1,IFERROR(T5/0.50,0))*25),0))</x:f>
      </x:c>
      <x:c r="V5" s="4" t="n"/>
      <x:c r="W5" s="4" t="n"/>
    </x:row>
    <x:row r="6" ht="22" customHeight="1">
      <x:c r="A6" s="37" t="n"/>
      <x:c r="B6" s="4" t="n"/>
      <x:c r="C6" s="4" t="n"/>
      <x:c r="D6" s="4" t="n"/>
      <x:c r="E6" s="4" t="n"/>
      <x:c r="F6" s="4" t="n"/>
      <x:c r="G6" s="4" t="n"/>
      <x:c r="H6" s="19" t="n"/>
      <x:c r="I6" s="19" t="n"/>
      <x:c r="J6" s="38">
        <x:f>IF(COUNTA(H6:I6)=0,"",IFERROR(I6/H6,0))</x:f>
      </x:c>
      <x:c r="K6" s="19" t="n"/>
      <x:c r="L6" s="38">
        <x:f>IF(COUNTA(I6,K6)=0,"",IFERROR(K6/I6,0))</x:f>
      </x:c>
      <x:c r="M6" s="19" t="n"/>
      <x:c r="N6" s="38">
        <x:f>IF(COUNTA(K6,M6)=0,"",IFERROR(M6/K6,0))</x:f>
      </x:c>
      <x:c r="O6" s="19" t="n"/>
      <x:c r="P6" s="38">
        <x:f>IF(COUNTA(K6,O6)=0,"",IFERROR(O6/K6,0))</x:f>
      </x:c>
      <x:c r="Q6" s="19" t="n"/>
      <x:c r="R6" s="19" t="n"/>
      <x:c r="S6" s="39" t="n"/>
      <x:c r="T6" s="39" t="n"/>
      <x:c r="U6" s="22">
        <x:f>IF(COUNTA(H6,I6,K6,M6,O6,Q6,R6,S6,T6)=0,"",ROUND((MIN(1,IFERROR(J6/0.02,0))*25 + MIN(1,IFERROR(N6/0.05,0))*25 + MIN(1,IFERROR(P6/0.05,0))*25 + MIN(1,IFERROR(T6/0.50,0))*25),0))</x:f>
      </x:c>
      <x:c r="V6" s="4" t="n"/>
      <x:c r="W6" s="4" t="n"/>
    </x:row>
    <x:row r="7" ht="22" customHeight="1">
      <x:c r="A7" s="37" t="n"/>
      <x:c r="B7" s="4" t="n"/>
      <x:c r="C7" s="4" t="n"/>
      <x:c r="D7" s="4" t="n"/>
      <x:c r="E7" s="4" t="n"/>
      <x:c r="F7" s="4" t="n"/>
      <x:c r="G7" s="4" t="n"/>
      <x:c r="H7" s="19" t="n"/>
      <x:c r="I7" s="19" t="n"/>
      <x:c r="J7" s="38">
        <x:f>IF(COUNTA(H7:I7)=0,"",IFERROR(I7/H7,0))</x:f>
      </x:c>
      <x:c r="K7" s="19" t="n"/>
      <x:c r="L7" s="38">
        <x:f>IF(COUNTA(I7,K7)=0,"",IFERROR(K7/I7,0))</x:f>
      </x:c>
      <x:c r="M7" s="19" t="n"/>
      <x:c r="N7" s="38">
        <x:f>IF(COUNTA(K7,M7)=0,"",IFERROR(M7/K7,0))</x:f>
      </x:c>
      <x:c r="O7" s="19" t="n"/>
      <x:c r="P7" s="38">
        <x:f>IF(COUNTA(K7,O7)=0,"",IFERROR(O7/K7,0))</x:f>
      </x:c>
      <x:c r="Q7" s="19" t="n"/>
      <x:c r="R7" s="19" t="n"/>
      <x:c r="S7" s="39" t="n"/>
      <x:c r="T7" s="39" t="n"/>
      <x:c r="U7" s="22">
        <x:f>IF(COUNTA(H7,I7,K7,M7,O7,Q7,R7,S7,T7)=0,"",ROUND((MIN(1,IFERROR(J7/0.02,0))*25 + MIN(1,IFERROR(N7/0.05,0))*25 + MIN(1,IFERROR(P7/0.05,0))*25 + MIN(1,IFERROR(T7/0.50,0))*25),0))</x:f>
      </x:c>
      <x:c r="V7" s="4" t="n"/>
      <x:c r="W7" s="4" t="n"/>
    </x:row>
    <x:row r="8" ht="22" customHeight="1">
      <x:c r="A8" s="37" t="n"/>
      <x:c r="B8" s="4" t="n"/>
      <x:c r="C8" s="4" t="n"/>
      <x:c r="D8" s="4" t="n"/>
      <x:c r="E8" s="4" t="n"/>
      <x:c r="F8" s="4" t="n"/>
      <x:c r="G8" s="4" t="n"/>
      <x:c r="H8" s="19" t="n"/>
      <x:c r="I8" s="19" t="n"/>
      <x:c r="J8" s="38">
        <x:f>IF(COUNTA(H8:I8)=0,"",IFERROR(I8/H8,0))</x:f>
      </x:c>
      <x:c r="K8" s="19" t="n"/>
      <x:c r="L8" s="38">
        <x:f>IF(COUNTA(I8,K8)=0,"",IFERROR(K8/I8,0))</x:f>
      </x:c>
      <x:c r="M8" s="19" t="n"/>
      <x:c r="N8" s="38">
        <x:f>IF(COUNTA(K8,M8)=0,"",IFERROR(M8/K8,0))</x:f>
      </x:c>
      <x:c r="O8" s="19" t="n"/>
      <x:c r="P8" s="38">
        <x:f>IF(COUNTA(K8,O8)=0,"",IFERROR(O8/K8,0))</x:f>
      </x:c>
      <x:c r="Q8" s="19" t="n"/>
      <x:c r="R8" s="19" t="n"/>
      <x:c r="S8" s="39" t="n"/>
      <x:c r="T8" s="39" t="n"/>
      <x:c r="U8" s="22">
        <x:f>IF(COUNTA(H8,I8,K8,M8,O8,Q8,R8,S8,T8)=0,"",ROUND((MIN(1,IFERROR(J8/0.02,0))*25 + MIN(1,IFERROR(N8/0.05,0))*25 + MIN(1,IFERROR(P8/0.05,0))*25 + MIN(1,IFERROR(T8/0.50,0))*25),0))</x:f>
      </x:c>
      <x:c r="V8" s="4" t="n"/>
      <x:c r="W8" s="4" t="n"/>
    </x:row>
    <x:row r="9" ht="22" customHeight="1">
      <x:c r="A9" s="37" t="n"/>
      <x:c r="B9" s="4" t="n"/>
      <x:c r="C9" s="4" t="n"/>
      <x:c r="D9" s="4" t="n"/>
      <x:c r="E9" s="4" t="n"/>
      <x:c r="F9" s="4" t="n"/>
      <x:c r="G9" s="4" t="n"/>
      <x:c r="H9" s="19" t="n"/>
      <x:c r="I9" s="19" t="n"/>
      <x:c r="J9" s="38">
        <x:f>IF(COUNTA(H9:I9)=0,"",IFERROR(I9/H9,0))</x:f>
      </x:c>
      <x:c r="K9" s="19" t="n"/>
      <x:c r="L9" s="38">
        <x:f>IF(COUNTA(I9,K9)=0,"",IFERROR(K9/I9,0))</x:f>
      </x:c>
      <x:c r="M9" s="19" t="n"/>
      <x:c r="N9" s="38">
        <x:f>IF(COUNTA(K9,M9)=0,"",IFERROR(M9/K9,0))</x:f>
      </x:c>
      <x:c r="O9" s="19" t="n"/>
      <x:c r="P9" s="38">
        <x:f>IF(COUNTA(K9,O9)=0,"",IFERROR(O9/K9,0))</x:f>
      </x:c>
      <x:c r="Q9" s="19" t="n"/>
      <x:c r="R9" s="19" t="n"/>
      <x:c r="S9" s="39" t="n"/>
      <x:c r="T9" s="39" t="n"/>
      <x:c r="U9" s="22">
        <x:f>IF(COUNTA(H9,I9,K9,M9,O9,Q9,R9,S9,T9)=0,"",ROUND((MIN(1,IFERROR(J9/0.02,0))*25 + MIN(1,IFERROR(N9/0.05,0))*25 + MIN(1,IFERROR(P9/0.05,0))*25 + MIN(1,IFERROR(T9/0.50,0))*25),0))</x:f>
      </x:c>
      <x:c r="V9" s="4" t="n"/>
      <x:c r="W9" s="4" t="n"/>
    </x:row>
    <x:row r="10" ht="22" customHeight="1">
      <x:c r="A10" s="37" t="n"/>
      <x:c r="B10" s="4" t="n"/>
      <x:c r="C10" s="4" t="n"/>
      <x:c r="D10" s="4" t="n"/>
      <x:c r="E10" s="4" t="n"/>
      <x:c r="F10" s="4" t="n"/>
      <x:c r="G10" s="4" t="n"/>
      <x:c r="H10" s="19" t="n"/>
      <x:c r="I10" s="19" t="n"/>
      <x:c r="J10" s="38">
        <x:f>IF(COUNTA(H10:I10)=0,"",IFERROR(I10/H10,0))</x:f>
      </x:c>
      <x:c r="K10" s="19" t="n"/>
      <x:c r="L10" s="38">
        <x:f>IF(COUNTA(I10,K10)=0,"",IFERROR(K10/I10,0))</x:f>
      </x:c>
      <x:c r="M10" s="19" t="n"/>
      <x:c r="N10" s="38">
        <x:f>IF(COUNTA(K10,M10)=0,"",IFERROR(M10/K10,0))</x:f>
      </x:c>
      <x:c r="O10" s="19" t="n"/>
      <x:c r="P10" s="38">
        <x:f>IF(COUNTA(K10,O10)=0,"",IFERROR(O10/K10,0))</x:f>
      </x:c>
      <x:c r="Q10" s="19" t="n"/>
      <x:c r="R10" s="19" t="n"/>
      <x:c r="S10" s="39" t="n"/>
      <x:c r="T10" s="39" t="n"/>
      <x:c r="U10" s="22">
        <x:f>IF(COUNTA(H10,I10,K10,M10,O10,Q10,R10,S10,T10)=0,"",ROUND((MIN(1,IFERROR(J10/0.02,0))*25 + MIN(1,IFERROR(N10/0.05,0))*25 + MIN(1,IFERROR(P10/0.05,0))*25 + MIN(1,IFERROR(T10/0.50,0))*25),0))</x:f>
      </x:c>
      <x:c r="V10" s="4" t="n"/>
      <x:c r="W10" s="4" t="n"/>
    </x:row>
    <x:row r="11" ht="22" customHeight="1">
      <x:c r="A11" s="37" t="n"/>
      <x:c r="B11" s="4" t="n"/>
      <x:c r="C11" s="4" t="n"/>
      <x:c r="D11" s="4" t="n"/>
      <x:c r="E11" s="4" t="n"/>
      <x:c r="F11" s="4" t="n"/>
      <x:c r="G11" s="4" t="n"/>
      <x:c r="H11" s="19" t="n"/>
      <x:c r="I11" s="19" t="n"/>
      <x:c r="J11" s="38">
        <x:f>IF(COUNTA(H11:I11)=0,"",IFERROR(I11/H11,0))</x:f>
      </x:c>
      <x:c r="K11" s="19" t="n"/>
      <x:c r="L11" s="38">
        <x:f>IF(COUNTA(I11,K11)=0,"",IFERROR(K11/I11,0))</x:f>
      </x:c>
      <x:c r="M11" s="19" t="n"/>
      <x:c r="N11" s="38">
        <x:f>IF(COUNTA(K11,M11)=0,"",IFERROR(M11/K11,0))</x:f>
      </x:c>
      <x:c r="O11" s="19" t="n"/>
      <x:c r="P11" s="38">
        <x:f>IF(COUNTA(K11,O11)=0,"",IFERROR(O11/K11,0))</x:f>
      </x:c>
      <x:c r="Q11" s="19" t="n"/>
      <x:c r="R11" s="19" t="n"/>
      <x:c r="S11" s="39" t="n"/>
      <x:c r="T11" s="39" t="n"/>
      <x:c r="U11" s="22">
        <x:f>IF(COUNTA(H11,I11,K11,M11,O11,Q11,R11,S11,T11)=0,"",ROUND((MIN(1,IFERROR(J11/0.02,0))*25 + MIN(1,IFERROR(N11/0.05,0))*25 + MIN(1,IFERROR(P11/0.05,0))*25 + MIN(1,IFERROR(T11/0.50,0))*25),0))</x:f>
      </x:c>
      <x:c r="V11" s="4" t="n"/>
      <x:c r="W11" s="4" t="n"/>
    </x:row>
    <x:row r="12" ht="22" customHeight="1">
      <x:c r="A12" s="37" t="n"/>
      <x:c r="B12" s="4" t="n"/>
      <x:c r="C12" s="4" t="n"/>
      <x:c r="D12" s="4" t="n"/>
      <x:c r="E12" s="4" t="n"/>
      <x:c r="F12" s="4" t="n"/>
      <x:c r="G12" s="4" t="n"/>
      <x:c r="H12" s="19" t="n"/>
      <x:c r="I12" s="19" t="n"/>
      <x:c r="J12" s="38">
        <x:f>IF(COUNTA(H12:I12)=0,"",IFERROR(I12/H12,0))</x:f>
      </x:c>
      <x:c r="K12" s="19" t="n"/>
      <x:c r="L12" s="38">
        <x:f>IF(COUNTA(I12,K12)=0,"",IFERROR(K12/I12,0))</x:f>
      </x:c>
      <x:c r="M12" s="19" t="n"/>
      <x:c r="N12" s="38">
        <x:f>IF(COUNTA(K12,M12)=0,"",IFERROR(M12/K12,0))</x:f>
      </x:c>
      <x:c r="O12" s="19" t="n"/>
      <x:c r="P12" s="38">
        <x:f>IF(COUNTA(K12,O12)=0,"",IFERROR(O12/K12,0))</x:f>
      </x:c>
      <x:c r="Q12" s="19" t="n"/>
      <x:c r="R12" s="19" t="n"/>
      <x:c r="S12" s="39" t="n"/>
      <x:c r="T12" s="39" t="n"/>
      <x:c r="U12" s="22">
        <x:f>IF(COUNTA(H12,I12,K12,M12,O12,Q12,R12,S12,T12)=0,"",ROUND((MIN(1,IFERROR(J12/0.02,0))*25 + MIN(1,IFERROR(N12/0.05,0))*25 + MIN(1,IFERROR(P12/0.05,0))*25 + MIN(1,IFERROR(T12/0.50,0))*25),0))</x:f>
      </x:c>
      <x:c r="V12" s="4" t="n"/>
      <x:c r="W12" s="4" t="n"/>
    </x:row>
    <x:row r="13" ht="22" customHeight="1">
      <x:c r="A13" s="37" t="n"/>
      <x:c r="B13" s="4" t="n"/>
      <x:c r="C13" s="4" t="n"/>
      <x:c r="D13" s="4" t="n"/>
      <x:c r="E13" s="4" t="n"/>
      <x:c r="F13" s="4" t="n"/>
      <x:c r="G13" s="4" t="n"/>
      <x:c r="H13" s="19" t="n"/>
      <x:c r="I13" s="19" t="n"/>
      <x:c r="J13" s="38">
        <x:f>IF(COUNTA(H13:I13)=0,"",IFERROR(I13/H13,0))</x:f>
      </x:c>
      <x:c r="K13" s="19" t="n"/>
      <x:c r="L13" s="38">
        <x:f>IF(COUNTA(I13,K13)=0,"",IFERROR(K13/I13,0))</x:f>
      </x:c>
      <x:c r="M13" s="19" t="n"/>
      <x:c r="N13" s="38">
        <x:f>IF(COUNTA(K13,M13)=0,"",IFERROR(M13/K13,0))</x:f>
      </x:c>
      <x:c r="O13" s="19" t="n"/>
      <x:c r="P13" s="38">
        <x:f>IF(COUNTA(K13,O13)=0,"",IFERROR(O13/K13,0))</x:f>
      </x:c>
      <x:c r="Q13" s="19" t="n"/>
      <x:c r="R13" s="19" t="n"/>
      <x:c r="S13" s="39" t="n"/>
      <x:c r="T13" s="39" t="n"/>
      <x:c r="U13" s="22">
        <x:f>IF(COUNTA(H13,I13,K13,M13,O13,Q13,R13,S13,T13)=0,"",ROUND((MIN(1,IFERROR(J13/0.02,0))*25 + MIN(1,IFERROR(N13/0.05,0))*25 + MIN(1,IFERROR(P13/0.05,0))*25 + MIN(1,IFERROR(T13/0.50,0))*25),0))</x:f>
      </x:c>
      <x:c r="V13" s="4" t="n"/>
      <x:c r="W13" s="4" t="n"/>
    </x:row>
    <x:row r="14" ht="22" customHeight="1">
      <x:c r="A14" s="37" t="n"/>
      <x:c r="B14" s="4" t="n"/>
      <x:c r="C14" s="4" t="n"/>
      <x:c r="D14" s="4" t="n"/>
      <x:c r="E14" s="4" t="n"/>
      <x:c r="F14" s="4" t="n"/>
      <x:c r="G14" s="4" t="n"/>
      <x:c r="H14" s="19" t="n"/>
      <x:c r="I14" s="19" t="n"/>
      <x:c r="J14" s="38">
        <x:f>IF(COUNTA(H14:I14)=0,"",IFERROR(I14/H14,0))</x:f>
      </x:c>
      <x:c r="K14" s="19" t="n"/>
      <x:c r="L14" s="38">
        <x:f>IF(COUNTA(I14,K14)=0,"",IFERROR(K14/I14,0))</x:f>
      </x:c>
      <x:c r="M14" s="19" t="n"/>
      <x:c r="N14" s="38">
        <x:f>IF(COUNTA(K14,M14)=0,"",IFERROR(M14/K14,0))</x:f>
      </x:c>
      <x:c r="O14" s="19" t="n"/>
      <x:c r="P14" s="38">
        <x:f>IF(COUNTA(K14,O14)=0,"",IFERROR(O14/K14,0))</x:f>
      </x:c>
      <x:c r="Q14" s="19" t="n"/>
      <x:c r="R14" s="19" t="n"/>
      <x:c r="S14" s="39" t="n"/>
      <x:c r="T14" s="39" t="n"/>
      <x:c r="U14" s="22">
        <x:f>IF(COUNTA(H14,I14,K14,M14,O14,Q14,R14,S14,T14)=0,"",ROUND((MIN(1,IFERROR(J14/0.02,0))*25 + MIN(1,IFERROR(N14/0.05,0))*25 + MIN(1,IFERROR(P14/0.05,0))*25 + MIN(1,IFERROR(T14/0.50,0))*25),0))</x:f>
      </x:c>
      <x:c r="V14" s="4" t="n"/>
      <x:c r="W14" s="4" t="n"/>
    </x:row>
    <x:row r="15" ht="22" customHeight="1">
      <x:c r="A15" s="37" t="n"/>
      <x:c r="B15" s="4" t="n"/>
      <x:c r="C15" s="4" t="n"/>
      <x:c r="D15" s="4" t="n"/>
      <x:c r="E15" s="4" t="n"/>
      <x:c r="F15" s="4" t="n"/>
      <x:c r="G15" s="4" t="n"/>
      <x:c r="H15" s="19" t="n"/>
      <x:c r="I15" s="19" t="n"/>
      <x:c r="J15" s="38">
        <x:f>IF(COUNTA(H15:I15)=0,"",IFERROR(I15/H15,0))</x:f>
      </x:c>
      <x:c r="K15" s="19" t="n"/>
      <x:c r="L15" s="38">
        <x:f>IF(COUNTA(I15,K15)=0,"",IFERROR(K15/I15,0))</x:f>
      </x:c>
      <x:c r="M15" s="19" t="n"/>
      <x:c r="N15" s="38">
        <x:f>IF(COUNTA(K15,M15)=0,"",IFERROR(M15/K15,0))</x:f>
      </x:c>
      <x:c r="O15" s="19" t="n"/>
      <x:c r="P15" s="38">
        <x:f>IF(COUNTA(K15,O15)=0,"",IFERROR(O15/K15,0))</x:f>
      </x:c>
      <x:c r="Q15" s="19" t="n"/>
      <x:c r="R15" s="19" t="n"/>
      <x:c r="S15" s="39" t="n"/>
      <x:c r="T15" s="39" t="n"/>
      <x:c r="U15" s="22">
        <x:f>IF(COUNTA(H15,I15,K15,M15,O15,Q15,R15,S15,T15)=0,"",ROUND((MIN(1,IFERROR(J15/0.02,0))*25 + MIN(1,IFERROR(N15/0.05,0))*25 + MIN(1,IFERROR(P15/0.05,0))*25 + MIN(1,IFERROR(T15/0.50,0))*25),0))</x:f>
      </x:c>
      <x:c r="V15" s="4" t="n"/>
      <x:c r="W15" s="4" t="n"/>
    </x:row>
    <x:row r="16" ht="22" customHeight="1">
      <x:c r="A16" s="37" t="n"/>
      <x:c r="B16" s="4" t="n"/>
      <x:c r="C16" s="4" t="n"/>
      <x:c r="D16" s="4" t="n"/>
      <x:c r="E16" s="4" t="n"/>
      <x:c r="F16" s="4" t="n"/>
      <x:c r="G16" s="4" t="n"/>
      <x:c r="H16" s="19" t="n"/>
      <x:c r="I16" s="19" t="n"/>
      <x:c r="J16" s="38">
        <x:f>IF(COUNTA(H16:I16)=0,"",IFERROR(I16/H16,0))</x:f>
      </x:c>
      <x:c r="K16" s="19" t="n"/>
      <x:c r="L16" s="38">
        <x:f>IF(COUNTA(I16,K16)=0,"",IFERROR(K16/I16,0))</x:f>
      </x:c>
      <x:c r="M16" s="19" t="n"/>
      <x:c r="N16" s="38">
        <x:f>IF(COUNTA(K16,M16)=0,"",IFERROR(M16/K16,0))</x:f>
      </x:c>
      <x:c r="O16" s="19" t="n"/>
      <x:c r="P16" s="38">
        <x:f>IF(COUNTA(K16,O16)=0,"",IFERROR(O16/K16,0))</x:f>
      </x:c>
      <x:c r="Q16" s="19" t="n"/>
      <x:c r="R16" s="19" t="n"/>
      <x:c r="S16" s="39" t="n"/>
      <x:c r="T16" s="39" t="n"/>
      <x:c r="U16" s="22">
        <x:f>IF(COUNTA(H16,I16,K16,M16,O16,Q16,R16,S16,T16)=0,"",ROUND((MIN(1,IFERROR(J16/0.02,0))*25 + MIN(1,IFERROR(N16/0.05,0))*25 + MIN(1,IFERROR(P16/0.05,0))*25 + MIN(1,IFERROR(T16/0.50,0))*25),0))</x:f>
      </x:c>
      <x:c r="V16" s="4" t="n"/>
      <x:c r="W16" s="4" t="n"/>
    </x:row>
    <x:row r="17" ht="22" customHeight="1">
      <x:c r="A17" s="37" t="n"/>
      <x:c r="B17" s="4" t="n"/>
      <x:c r="C17" s="4" t="n"/>
      <x:c r="D17" s="4" t="n"/>
      <x:c r="E17" s="4" t="n"/>
      <x:c r="F17" s="4" t="n"/>
      <x:c r="G17" s="4" t="n"/>
      <x:c r="H17" s="19" t="n"/>
      <x:c r="I17" s="19" t="n"/>
      <x:c r="J17" s="38">
        <x:f>IF(COUNTA(H17:I17)=0,"",IFERROR(I17/H17,0))</x:f>
      </x:c>
      <x:c r="K17" s="19" t="n"/>
      <x:c r="L17" s="38">
        <x:f>IF(COUNTA(I17,K17)=0,"",IFERROR(K17/I17,0))</x:f>
      </x:c>
      <x:c r="M17" s="19" t="n"/>
      <x:c r="N17" s="38">
        <x:f>IF(COUNTA(K17,M17)=0,"",IFERROR(M17/K17,0))</x:f>
      </x:c>
      <x:c r="O17" s="19" t="n"/>
      <x:c r="P17" s="38">
        <x:f>IF(COUNTA(K17,O17)=0,"",IFERROR(O17/K17,0))</x:f>
      </x:c>
      <x:c r="Q17" s="19" t="n"/>
      <x:c r="R17" s="19" t="n"/>
      <x:c r="S17" s="39" t="n"/>
      <x:c r="T17" s="39" t="n"/>
      <x:c r="U17" s="22">
        <x:f>IF(COUNTA(H17,I17,K17,M17,O17,Q17,R17,S17,T17)=0,"",ROUND((MIN(1,IFERROR(J17/0.02,0))*25 + MIN(1,IFERROR(N17/0.05,0))*25 + MIN(1,IFERROR(P17/0.05,0))*25 + MIN(1,IFERROR(T17/0.50,0))*25),0))</x:f>
      </x:c>
      <x:c r="V17" s="4" t="n"/>
      <x:c r="W17" s="4" t="n"/>
    </x:row>
    <x:row r="18" ht="22" customHeight="1">
      <x:c r="A18" s="37" t="n"/>
      <x:c r="B18" s="4" t="n"/>
      <x:c r="C18" s="4" t="n"/>
      <x:c r="D18" s="4" t="n"/>
      <x:c r="E18" s="4" t="n"/>
      <x:c r="F18" s="4" t="n"/>
      <x:c r="G18" s="4" t="n"/>
      <x:c r="H18" s="19" t="n"/>
      <x:c r="I18" s="19" t="n"/>
      <x:c r="J18" s="38">
        <x:f>IF(COUNTA(H18:I18)=0,"",IFERROR(I18/H18,0))</x:f>
      </x:c>
      <x:c r="K18" s="19" t="n"/>
      <x:c r="L18" s="38">
        <x:f>IF(COUNTA(I18,K18)=0,"",IFERROR(K18/I18,0))</x:f>
      </x:c>
      <x:c r="M18" s="19" t="n"/>
      <x:c r="N18" s="38">
        <x:f>IF(COUNTA(K18,M18)=0,"",IFERROR(M18/K18,0))</x:f>
      </x:c>
      <x:c r="O18" s="19" t="n"/>
      <x:c r="P18" s="38">
        <x:f>IF(COUNTA(K18,O18)=0,"",IFERROR(O18/K18,0))</x:f>
      </x:c>
      <x:c r="Q18" s="19" t="n"/>
      <x:c r="R18" s="19" t="n"/>
      <x:c r="S18" s="39" t="n"/>
      <x:c r="T18" s="39" t="n"/>
      <x:c r="U18" s="22">
        <x:f>IF(COUNTA(H18,I18,K18,M18,O18,Q18,R18,S18,T18)=0,"",ROUND((MIN(1,IFERROR(J18/0.02,0))*25 + MIN(1,IFERROR(N18/0.05,0))*25 + MIN(1,IFERROR(P18/0.05,0))*25 + MIN(1,IFERROR(T18/0.50,0))*25),0))</x:f>
      </x:c>
      <x:c r="V18" s="4" t="n"/>
      <x:c r="W18" s="4" t="n"/>
    </x:row>
    <x:row r="19" ht="22" customHeight="1">
      <x:c r="A19" s="37" t="n"/>
      <x:c r="B19" s="4" t="n"/>
      <x:c r="C19" s="4" t="n"/>
      <x:c r="D19" s="4" t="n"/>
      <x:c r="E19" s="4" t="n"/>
      <x:c r="F19" s="4" t="n"/>
      <x:c r="G19" s="4" t="n"/>
      <x:c r="H19" s="19" t="n"/>
      <x:c r="I19" s="19" t="n"/>
      <x:c r="J19" s="38">
        <x:f>IF(COUNTA(H19:I19)=0,"",IFERROR(I19/H19,0))</x:f>
      </x:c>
      <x:c r="K19" s="19" t="n"/>
      <x:c r="L19" s="38">
        <x:f>IF(COUNTA(I19,K19)=0,"",IFERROR(K19/I19,0))</x:f>
      </x:c>
      <x:c r="M19" s="19" t="n"/>
      <x:c r="N19" s="38">
        <x:f>IF(COUNTA(K19,M19)=0,"",IFERROR(M19/K19,0))</x:f>
      </x:c>
      <x:c r="O19" s="19" t="n"/>
      <x:c r="P19" s="38">
        <x:f>IF(COUNTA(K19,O19)=0,"",IFERROR(O19/K19,0))</x:f>
      </x:c>
      <x:c r="Q19" s="19" t="n"/>
      <x:c r="R19" s="19" t="n"/>
      <x:c r="S19" s="39" t="n"/>
      <x:c r="T19" s="39" t="n"/>
      <x:c r="U19" s="22">
        <x:f>IF(COUNTA(H19,I19,K19,M19,O19,Q19,R19,S19,T19)=0,"",ROUND((MIN(1,IFERROR(J19/0.02,0))*25 + MIN(1,IFERROR(N19/0.05,0))*25 + MIN(1,IFERROR(P19/0.05,0))*25 + MIN(1,IFERROR(T19/0.50,0))*25),0))</x:f>
      </x:c>
      <x:c r="V19" s="4" t="n"/>
      <x:c r="W19" s="4" t="n"/>
    </x:row>
    <x:row r="20" ht="22" customHeight="1">
      <x:c r="A20" s="37" t="n"/>
      <x:c r="B20" s="4" t="n"/>
      <x:c r="C20" s="4" t="n"/>
      <x:c r="D20" s="4" t="n"/>
      <x:c r="E20" s="4" t="n"/>
      <x:c r="F20" s="4" t="n"/>
      <x:c r="G20" s="4" t="n"/>
      <x:c r="H20" s="19" t="n"/>
      <x:c r="I20" s="19" t="n"/>
      <x:c r="J20" s="38">
        <x:f>IF(COUNTA(H20:I20)=0,"",IFERROR(I20/H20,0))</x:f>
      </x:c>
      <x:c r="K20" s="19" t="n"/>
      <x:c r="L20" s="38">
        <x:f>IF(COUNTA(I20,K20)=0,"",IFERROR(K20/I20,0))</x:f>
      </x:c>
      <x:c r="M20" s="19" t="n"/>
      <x:c r="N20" s="38">
        <x:f>IF(COUNTA(K20,M20)=0,"",IFERROR(M20/K20,0))</x:f>
      </x:c>
      <x:c r="O20" s="19" t="n"/>
      <x:c r="P20" s="38">
        <x:f>IF(COUNTA(K20,O20)=0,"",IFERROR(O20/K20,0))</x:f>
      </x:c>
      <x:c r="Q20" s="19" t="n"/>
      <x:c r="R20" s="19" t="n"/>
      <x:c r="S20" s="39" t="n"/>
      <x:c r="T20" s="39" t="n"/>
      <x:c r="U20" s="22">
        <x:f>IF(COUNTA(H20,I20,K20,M20,O20,Q20,R20,S20,T20)=0,"",ROUND((MIN(1,IFERROR(J20/0.02,0))*25 + MIN(1,IFERROR(N20/0.05,0))*25 + MIN(1,IFERROR(P20/0.05,0))*25 + MIN(1,IFERROR(T20/0.50,0))*25),0))</x:f>
      </x:c>
      <x:c r="V20" s="4" t="n"/>
      <x:c r="W20" s="4" t="n"/>
    </x:row>
    <x:row r="21" ht="22" customHeight="1">
      <x:c r="A21" s="37" t="n"/>
      <x:c r="B21" s="4" t="n"/>
      <x:c r="C21" s="4" t="n"/>
      <x:c r="D21" s="4" t="n"/>
      <x:c r="E21" s="4" t="n"/>
      <x:c r="F21" s="4" t="n"/>
      <x:c r="G21" s="4" t="n"/>
      <x:c r="H21" s="19" t="n"/>
      <x:c r="I21" s="19" t="n"/>
      <x:c r="J21" s="38">
        <x:f>IF(COUNTA(H21:I21)=0,"",IFERROR(I21/H21,0))</x:f>
      </x:c>
      <x:c r="K21" s="19" t="n"/>
      <x:c r="L21" s="38">
        <x:f>IF(COUNTA(I21,K21)=0,"",IFERROR(K21/I21,0))</x:f>
      </x:c>
      <x:c r="M21" s="19" t="n"/>
      <x:c r="N21" s="38">
        <x:f>IF(COUNTA(K21,M21)=0,"",IFERROR(M21/K21,0))</x:f>
      </x:c>
      <x:c r="O21" s="19" t="n"/>
      <x:c r="P21" s="38">
        <x:f>IF(COUNTA(K21,O21)=0,"",IFERROR(O21/K21,0))</x:f>
      </x:c>
      <x:c r="Q21" s="19" t="n"/>
      <x:c r="R21" s="19" t="n"/>
      <x:c r="S21" s="39" t="n"/>
      <x:c r="T21" s="39" t="n"/>
      <x:c r="U21" s="22">
        <x:f>IF(COUNTA(H21,I21,K21,M21,O21,Q21,R21,S21,T21)=0,"",ROUND((MIN(1,IFERROR(J21/0.02,0))*25 + MIN(1,IFERROR(N21/0.05,0))*25 + MIN(1,IFERROR(P21/0.05,0))*25 + MIN(1,IFERROR(T21/0.50,0))*25),0))</x:f>
      </x:c>
      <x:c r="V21" s="4" t="n"/>
      <x:c r="W21" s="4" t="n"/>
    </x:row>
    <x:row r="22" ht="22" customHeight="1">
      <x:c r="A22" s="37" t="n"/>
      <x:c r="B22" s="4" t="n"/>
      <x:c r="C22" s="4" t="n"/>
      <x:c r="D22" s="4" t="n"/>
      <x:c r="E22" s="4" t="n"/>
      <x:c r="F22" s="4" t="n"/>
      <x:c r="G22" s="4" t="n"/>
      <x:c r="H22" s="19" t="n"/>
      <x:c r="I22" s="19" t="n"/>
      <x:c r="J22" s="38">
        <x:f>IF(COUNTA(H22:I22)=0,"",IFERROR(I22/H22,0))</x:f>
      </x:c>
      <x:c r="K22" s="19" t="n"/>
      <x:c r="L22" s="38">
        <x:f>IF(COUNTA(I22,K22)=0,"",IFERROR(K22/I22,0))</x:f>
      </x:c>
      <x:c r="M22" s="19" t="n"/>
      <x:c r="N22" s="38">
        <x:f>IF(COUNTA(K22,M22)=0,"",IFERROR(M22/K22,0))</x:f>
      </x:c>
      <x:c r="O22" s="19" t="n"/>
      <x:c r="P22" s="38">
        <x:f>IF(COUNTA(K22,O22)=0,"",IFERROR(O22/K22,0))</x:f>
      </x:c>
      <x:c r="Q22" s="19" t="n"/>
      <x:c r="R22" s="19" t="n"/>
      <x:c r="S22" s="39" t="n"/>
      <x:c r="T22" s="39" t="n"/>
      <x:c r="U22" s="22">
        <x:f>IF(COUNTA(H22,I22,K22,M22,O22,Q22,R22,S22,T22)=0,"",ROUND((MIN(1,IFERROR(J22/0.02,0))*25 + MIN(1,IFERROR(N22/0.05,0))*25 + MIN(1,IFERROR(P22/0.05,0))*25 + MIN(1,IFERROR(T22/0.50,0))*25),0))</x:f>
      </x:c>
      <x:c r="V22" s="4" t="n"/>
      <x:c r="W22" s="4" t="n"/>
    </x:row>
    <x:row r="23" ht="22" customHeight="1">
      <x:c r="A23" s="37" t="n"/>
      <x:c r="B23" s="4" t="n"/>
      <x:c r="C23" s="4" t="n"/>
      <x:c r="D23" s="4" t="n"/>
      <x:c r="E23" s="4" t="n"/>
      <x:c r="F23" s="4" t="n"/>
      <x:c r="G23" s="4" t="n"/>
      <x:c r="H23" s="19" t="n"/>
      <x:c r="I23" s="19" t="n"/>
      <x:c r="J23" s="38">
        <x:f>IF(COUNTA(H23:I23)=0,"",IFERROR(I23/H23,0))</x:f>
      </x:c>
      <x:c r="K23" s="19" t="n"/>
      <x:c r="L23" s="38">
        <x:f>IF(COUNTA(I23,K23)=0,"",IFERROR(K23/I23,0))</x:f>
      </x:c>
      <x:c r="M23" s="19" t="n"/>
      <x:c r="N23" s="38">
        <x:f>IF(COUNTA(K23,M23)=0,"",IFERROR(M23/K23,0))</x:f>
      </x:c>
      <x:c r="O23" s="19" t="n"/>
      <x:c r="P23" s="38">
        <x:f>IF(COUNTA(K23,O23)=0,"",IFERROR(O23/K23,0))</x:f>
      </x:c>
      <x:c r="Q23" s="19" t="n"/>
      <x:c r="R23" s="19" t="n"/>
      <x:c r="S23" s="39" t="n"/>
      <x:c r="T23" s="39" t="n"/>
      <x:c r="U23" s="22">
        <x:f>IF(COUNTA(H23,I23,K23,M23,O23,Q23,R23,S23,T23)=0,"",ROUND((MIN(1,IFERROR(J23/0.02,0))*25 + MIN(1,IFERROR(N23/0.05,0))*25 + MIN(1,IFERROR(P23/0.05,0))*25 + MIN(1,IFERROR(T23/0.50,0))*25),0))</x:f>
      </x:c>
      <x:c r="V23" s="4" t="n"/>
      <x:c r="W23" s="4" t="n"/>
    </x:row>
    <x:row r="24" ht="22" customHeight="1">
      <x:c r="A24" s="37" t="n"/>
      <x:c r="B24" s="4" t="n"/>
      <x:c r="C24" s="4" t="n"/>
      <x:c r="D24" s="4" t="n"/>
      <x:c r="E24" s="4" t="n"/>
      <x:c r="F24" s="4" t="n"/>
      <x:c r="G24" s="4" t="n"/>
      <x:c r="H24" s="19" t="n"/>
      <x:c r="I24" s="19" t="n"/>
      <x:c r="J24" s="38">
        <x:f>IF(COUNTA(H24:I24)=0,"",IFERROR(I24/H24,0))</x:f>
      </x:c>
      <x:c r="K24" s="19" t="n"/>
      <x:c r="L24" s="38">
        <x:f>IF(COUNTA(I24,K24)=0,"",IFERROR(K24/I24,0))</x:f>
      </x:c>
      <x:c r="M24" s="19" t="n"/>
      <x:c r="N24" s="38">
        <x:f>IF(COUNTA(K24,M24)=0,"",IFERROR(M24/K24,0))</x:f>
      </x:c>
      <x:c r="O24" s="19" t="n"/>
      <x:c r="P24" s="38">
        <x:f>IF(COUNTA(K24,O24)=0,"",IFERROR(O24/K24,0))</x:f>
      </x:c>
      <x:c r="Q24" s="19" t="n"/>
      <x:c r="R24" s="19" t="n"/>
      <x:c r="S24" s="39" t="n"/>
      <x:c r="T24" s="39" t="n"/>
      <x:c r="U24" s="22">
        <x:f>IF(COUNTA(H24,I24,K24,M24,O24,Q24,R24,S24,T24)=0,"",ROUND((MIN(1,IFERROR(J24/0.02,0))*25 + MIN(1,IFERROR(N24/0.05,0))*25 + MIN(1,IFERROR(P24/0.05,0))*25 + MIN(1,IFERROR(T24/0.50,0))*25),0))</x:f>
      </x:c>
      <x:c r="V24" s="4" t="n"/>
      <x:c r="W24" s="4" t="n"/>
    </x:row>
    <x:row r="25" ht="22" customHeight="1">
      <x:c r="A25" s="37" t="n"/>
      <x:c r="B25" s="4" t="n"/>
      <x:c r="C25" s="4" t="n"/>
      <x:c r="D25" s="4" t="n"/>
      <x:c r="E25" s="4" t="n"/>
      <x:c r="F25" s="4" t="n"/>
      <x:c r="G25" s="4" t="n"/>
      <x:c r="H25" s="19" t="n"/>
      <x:c r="I25" s="19" t="n"/>
      <x:c r="J25" s="38">
        <x:f>IF(COUNTA(H25:I25)=0,"",IFERROR(I25/H25,0))</x:f>
      </x:c>
      <x:c r="K25" s="19" t="n"/>
      <x:c r="L25" s="38">
        <x:f>IF(COUNTA(I25,K25)=0,"",IFERROR(K25/I25,0))</x:f>
      </x:c>
      <x:c r="M25" s="19" t="n"/>
      <x:c r="N25" s="38">
        <x:f>IF(COUNTA(K25,M25)=0,"",IFERROR(M25/K25,0))</x:f>
      </x:c>
      <x:c r="O25" s="19" t="n"/>
      <x:c r="P25" s="38">
        <x:f>IF(COUNTA(K25,O25)=0,"",IFERROR(O25/K25,0))</x:f>
      </x:c>
      <x:c r="Q25" s="19" t="n"/>
      <x:c r="R25" s="19" t="n"/>
      <x:c r="S25" s="39" t="n"/>
      <x:c r="T25" s="39" t="n"/>
      <x:c r="U25" s="22">
        <x:f>IF(COUNTA(H25,I25,K25,M25,O25,Q25,R25,S25,T25)=0,"",ROUND((MIN(1,IFERROR(J25/0.02,0))*25 + MIN(1,IFERROR(N25/0.05,0))*25 + MIN(1,IFERROR(P25/0.05,0))*25 + MIN(1,IFERROR(T25/0.50,0))*25),0))</x:f>
      </x:c>
      <x:c r="V25" s="4" t="n"/>
      <x:c r="W25" s="4" t="n"/>
    </x:row>
    <x:row r="26" ht="22" customHeight="1">
      <x:c r="A26" s="37" t="n"/>
      <x:c r="B26" s="4" t="n"/>
      <x:c r="C26" s="4" t="n"/>
      <x:c r="D26" s="4" t="n"/>
      <x:c r="E26" s="4" t="n"/>
      <x:c r="F26" s="4" t="n"/>
      <x:c r="G26" s="4" t="n"/>
      <x:c r="H26" s="19" t="n"/>
      <x:c r="I26" s="19" t="n"/>
      <x:c r="J26" s="38">
        <x:f>IF(COUNTA(H26:I26)=0,"",IFERROR(I26/H26,0))</x:f>
      </x:c>
      <x:c r="K26" s="19" t="n"/>
      <x:c r="L26" s="38">
        <x:f>IF(COUNTA(I26,K26)=0,"",IFERROR(K26/I26,0))</x:f>
      </x:c>
      <x:c r="M26" s="19" t="n"/>
      <x:c r="N26" s="38">
        <x:f>IF(COUNTA(K26,M26)=0,"",IFERROR(M26/K26,0))</x:f>
      </x:c>
      <x:c r="O26" s="19" t="n"/>
      <x:c r="P26" s="38">
        <x:f>IF(COUNTA(K26,O26)=0,"",IFERROR(O26/K26,0))</x:f>
      </x:c>
      <x:c r="Q26" s="19" t="n"/>
      <x:c r="R26" s="19" t="n"/>
      <x:c r="S26" s="39" t="n"/>
      <x:c r="T26" s="39" t="n"/>
      <x:c r="U26" s="22">
        <x:f>IF(COUNTA(H26,I26,K26,M26,O26,Q26,R26,S26,T26)=0,"",ROUND((MIN(1,IFERROR(J26/0.02,0))*25 + MIN(1,IFERROR(N26/0.05,0))*25 + MIN(1,IFERROR(P26/0.05,0))*25 + MIN(1,IFERROR(T26/0.50,0))*25),0))</x:f>
      </x:c>
      <x:c r="V26" s="4" t="n"/>
      <x:c r="W26" s="4" t="n"/>
    </x:row>
    <x:row r="27" ht="22" customHeight="1">
      <x:c r="A27" s="37" t="n"/>
      <x:c r="B27" s="4" t="n"/>
      <x:c r="C27" s="4" t="n"/>
      <x:c r="D27" s="4" t="n"/>
      <x:c r="E27" s="4" t="n"/>
      <x:c r="F27" s="4" t="n"/>
      <x:c r="G27" s="4" t="n"/>
      <x:c r="H27" s="19" t="n"/>
      <x:c r="I27" s="19" t="n"/>
      <x:c r="J27" s="38">
        <x:f>IF(COUNTA(H27:I27)=0,"",IFERROR(I27/H27,0))</x:f>
      </x:c>
      <x:c r="K27" s="19" t="n"/>
      <x:c r="L27" s="38">
        <x:f>IF(COUNTA(I27,K27)=0,"",IFERROR(K27/I27,0))</x:f>
      </x:c>
      <x:c r="M27" s="19" t="n"/>
      <x:c r="N27" s="38">
        <x:f>IF(COUNTA(K27,M27)=0,"",IFERROR(M27/K27,0))</x:f>
      </x:c>
      <x:c r="O27" s="19" t="n"/>
      <x:c r="P27" s="38">
        <x:f>IF(COUNTA(K27,O27)=0,"",IFERROR(O27/K27,0))</x:f>
      </x:c>
      <x:c r="Q27" s="19" t="n"/>
      <x:c r="R27" s="19" t="n"/>
      <x:c r="S27" s="39" t="n"/>
      <x:c r="T27" s="39" t="n"/>
      <x:c r="U27" s="22">
        <x:f>IF(COUNTA(H27,I27,K27,M27,O27,Q27,R27,S27,T27)=0,"",ROUND((MIN(1,IFERROR(J27/0.02,0))*25 + MIN(1,IFERROR(N27/0.05,0))*25 + MIN(1,IFERROR(P27/0.05,0))*25 + MIN(1,IFERROR(T27/0.50,0))*25),0))</x:f>
      </x:c>
      <x:c r="V27" s="4" t="n"/>
      <x:c r="W27" s="4" t="n"/>
    </x:row>
    <x:row r="28" ht="22" customHeight="1">
      <x:c r="A28" s="37" t="n"/>
      <x:c r="B28" s="4" t="n"/>
      <x:c r="C28" s="4" t="n"/>
      <x:c r="D28" s="4" t="n"/>
      <x:c r="E28" s="4" t="n"/>
      <x:c r="F28" s="4" t="n"/>
      <x:c r="G28" s="4" t="n"/>
      <x:c r="H28" s="19" t="n"/>
      <x:c r="I28" s="19" t="n"/>
      <x:c r="J28" s="38">
        <x:f>IF(COUNTA(H28:I28)=0,"",IFERROR(I28/H28,0))</x:f>
      </x:c>
      <x:c r="K28" s="19" t="n"/>
      <x:c r="L28" s="38">
        <x:f>IF(COUNTA(I28,K28)=0,"",IFERROR(K28/I28,0))</x:f>
      </x:c>
      <x:c r="M28" s="19" t="n"/>
      <x:c r="N28" s="38">
        <x:f>IF(COUNTA(K28,M28)=0,"",IFERROR(M28/K28,0))</x:f>
      </x:c>
      <x:c r="O28" s="19" t="n"/>
      <x:c r="P28" s="38">
        <x:f>IF(COUNTA(K28,O28)=0,"",IFERROR(O28/K28,0))</x:f>
      </x:c>
      <x:c r="Q28" s="19" t="n"/>
      <x:c r="R28" s="19" t="n"/>
      <x:c r="S28" s="39" t="n"/>
      <x:c r="T28" s="39" t="n"/>
      <x:c r="U28" s="22">
        <x:f>IF(COUNTA(H28,I28,K28,M28,O28,Q28,R28,S28,T28)=0,"",ROUND((MIN(1,IFERROR(J28/0.02,0))*25 + MIN(1,IFERROR(N28/0.05,0))*25 + MIN(1,IFERROR(P28/0.05,0))*25 + MIN(1,IFERROR(T28/0.50,0))*25),0))</x:f>
      </x:c>
      <x:c r="V28" s="4" t="n"/>
      <x:c r="W28" s="4" t="n"/>
    </x:row>
    <x:row r="29" ht="22" customHeight="1">
      <x:c r="A29" s="37" t="n"/>
      <x:c r="B29" s="4" t="n"/>
      <x:c r="C29" s="4" t="n"/>
      <x:c r="D29" s="4" t="n"/>
      <x:c r="E29" s="4" t="n"/>
      <x:c r="F29" s="4" t="n"/>
      <x:c r="G29" s="4" t="n"/>
      <x:c r="H29" s="19" t="n"/>
      <x:c r="I29" s="19" t="n"/>
      <x:c r="J29" s="38">
        <x:f>IF(COUNTA(H29:I29)=0,"",IFERROR(I29/H29,0))</x:f>
      </x:c>
      <x:c r="K29" s="19" t="n"/>
      <x:c r="L29" s="38">
        <x:f>IF(COUNTA(I29,K29)=0,"",IFERROR(K29/I29,0))</x:f>
      </x:c>
      <x:c r="M29" s="19" t="n"/>
      <x:c r="N29" s="38">
        <x:f>IF(COUNTA(K29,M29)=0,"",IFERROR(M29/K29,0))</x:f>
      </x:c>
      <x:c r="O29" s="19" t="n"/>
      <x:c r="P29" s="38">
        <x:f>IF(COUNTA(K29,O29)=0,"",IFERROR(O29/K29,0))</x:f>
      </x:c>
      <x:c r="Q29" s="19" t="n"/>
      <x:c r="R29" s="19" t="n"/>
      <x:c r="S29" s="39" t="n"/>
      <x:c r="T29" s="39" t="n"/>
      <x:c r="U29" s="22">
        <x:f>IF(COUNTA(H29,I29,K29,M29,O29,Q29,R29,S29,T29)=0,"",ROUND((MIN(1,IFERROR(J29/0.02,0))*25 + MIN(1,IFERROR(N29/0.05,0))*25 + MIN(1,IFERROR(P29/0.05,0))*25 + MIN(1,IFERROR(T29/0.50,0))*25),0))</x:f>
      </x:c>
      <x:c r="V29" s="4" t="n"/>
      <x:c r="W29" s="4" t="n"/>
    </x:row>
  </x:sheetData>
  <x:mergeCells>
    <x:mergeCell ref="A2:W2"/>
    <x:mergeCell ref="A1:W1"/>
  </x:mergeCells>
  <x:conditionalFormatting sqref="J4:J29">
    <x:cfRule type="colorScale" priority="1">
      <x:colorScale>
        <x:cfvo type="num" val="0"/>
        <x:cfvo type="num" val="0.03"/>
        <x:cfvo type="num" val="0.08"/>
        <x:color rgb="00FDEDEC"/>
        <x:color rgb="00FFF3CD"/>
        <x:color rgb="00D4EDDA"/>
      </x:colorScale>
    </x:cfRule>
  </x:conditionalFormatting>
  <x:conditionalFormatting sqref="U4:U29">
    <x:cfRule type="colorScale" priority="2">
      <x:colorScale>
        <x:cfvo type="num" val="0"/>
        <x:cfvo type="num" val="50"/>
        <x:cfvo type="num" val="100"/>
        <x:color rgb="00FDEDEC"/>
        <x:color rgb="00FFF3CD"/>
        <x:color rgb="00D4EDDA"/>
      </x:colorScale>
    </x:cfRule>
  </x:conditionalFormatting>
  <x:dataValidations count="4">
    <x:dataValidation type="date" allowBlank="1" showDropDown="0" showInputMessage="0" showErrorMessage="0" sqref="A4:A29"/>
    <x:dataValidation type="list" allowBlank="1" showDropDown="0" showInputMessage="0" showErrorMessage="0" sqref="C4:C29">
      <x:formula1>=PropertyList</x:formula1>
    </x:dataValidation>
    <x:dataValidation type="list" allowBlank="1" showDropDown="0" showInputMessage="0" showErrorMessage="0" sqref="E4:E29">
      <x:formula1>=ChannelList</x:formula1>
    </x:dataValidation>
    <x:dataValidation type="list" allowBlank="1" showDropDown="0" showInputMessage="0" showErrorMessage="0" sqref="G4:G29">
      <x:formula1>=PillarList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83c17208b49a4"/>
  </x:tableParts>
</x:worksheet>
</file>

<file path=xl/worksheets/sheet3.xml><?xml version="1.0" encoding="utf-8"?>
<x:worksheet xmlns:x="http://schemas.openxmlformats.org/spreadsheetml/2006/main">
  <x:sheetPr>
    <x:tabColor rgb="007B61A8"/>
  </x:sheetPr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20" customWidth="1"/>
    <x:col min="4" max="4" width="34" customWidth="1"/>
    <x:col min="5" max="5" width="16" customWidth="1"/>
    <x:col min="6" max="6" width="16" customWidth="1"/>
    <x:col min="7" max="7" width="16" customWidth="1"/>
    <x:col min="8" max="8" width="18" customWidth="1"/>
    <x:col min="9" max="9" width="18" customWidth="1"/>
    <x:col min="10" max="10" width="28" customWidth="1"/>
    <x:col min="11" max="11" width="14" customWidth="1"/>
    <x:col min="12" max="12" width="24" customWidth="1"/>
    <x:col min="13" max="13" width="24" customWidth="1"/>
  </x:cols>
  <x:sheetData>
    <x:row r="1">
      <x:c r="A1" s="1" t="inlineStr">
        <x:is>
          <x:t xml:space="preserve">LLM Visibility Test Log</x:t>
        </x:is>
      </x:c>
    </x:row>
    <x:row r="2">
      <x:c r="A2" s="2" t="inlineStr">
        <x:is>
          <x:t xml:space="preserve">Use the same prompts weekly or monthly across ChatGPT, Perplexity, Gemini, and Claude.</x:t>
        </x:is>
      </x:c>
    </x:row>
    <x:row r="3">
      <x:c r="A3" s="23" t="inlineStr">
        <x:is>
          <x:t xml:space="preserve">Date</x:t>
        </x:is>
      </x:c>
      <x:c r="B3" s="23" t="inlineStr">
        <x:is>
          <x:t xml:space="preserve">Platform</x:t>
        </x:is>
      </x:c>
      <x:c r="C3" s="23" t="inlineStr">
        <x:is>
          <x:t xml:space="preserve">Prompt Type</x:t>
        </x:is>
      </x:c>
      <x:c r="D3" s="23" t="inlineStr">
        <x:is>
          <x:t xml:space="preserve">Prompt</x:t>
        </x:is>
      </x:c>
      <x:c r="E3" s="23" t="inlineStr">
        <x:is>
          <x:t xml:space="preserve">Property</x:t>
        </x:is>
      </x:c>
      <x:c r="F3" s="23" t="inlineStr">
        <x:is>
          <x:t xml:space="preserve">Brand Mentioned</x:t>
        </x:is>
      </x:c>
      <x:c r="G3" s="23" t="inlineStr">
        <x:is>
          <x:t xml:space="preserve">Topic Reflected</x:t>
        </x:is>
      </x:c>
      <x:c r="H3" s="23" t="inlineStr">
        <x:is>
          <x:t xml:space="preserve">Accurate Positioning</x:t>
        </x:is>
      </x:c>
      <x:c r="I3" s="23" t="inlineStr">
        <x:is>
          <x:t xml:space="preserve">Competitor Mentioned</x:t>
        </x:is>
      </x:c>
      <x:c r="J3" s="23" t="inlineStr">
        <x:is>
          <x:t xml:space="preserve">Sources / Domains Cited</x:t>
        </x:is>
      </x:c>
      <x:c r="K3" s="23" t="inlineStr">
        <x:is>
          <x:t xml:space="preserve">Visibility Score</x:t>
        </x:is>
      </x:c>
      <x:c r="L3" s="23" t="inlineStr">
        <x:is>
          <x:t xml:space="preserve">Notes</x:t>
        </x:is>
      </x:c>
      <x:c r="M3" s="23" t="inlineStr">
        <x:is>
          <x:t xml:space="preserve">Next Action</x:t>
        </x:is>
      </x:c>
    </x:row>
    <x:row r="4" ht="22" customHeight="1">
      <x:c r="A4" s="40" t="n"/>
      <x:c r="B4" s="25" t="n"/>
      <x:c r="C4" s="25" t="n"/>
      <x:c r="D4" s="4" t="n"/>
      <x:c r="E4" s="25" t="n"/>
      <x:c r="F4" s="25" t="n"/>
      <x:c r="G4" s="25" t="n"/>
      <x:c r="H4" s="25" t="n"/>
      <x:c r="I4" s="25" t="n"/>
      <x:c r="J4" s="4" t="n"/>
      <x:c r="K4" s="22">
        <x:f>IF(COUNTA(F4:I4)=0,"",COUNTIF(F4:H4,"Yes")-IF(I4="Yes",1,0))</x:f>
      </x:c>
      <x:c r="L4" s="4" t="n"/>
      <x:c r="M4" s="4" t="n"/>
    </x:row>
    <x:row r="5" ht="22" customHeight="1">
      <x:c r="A5" s="40" t="n"/>
      <x:c r="B5" s="25" t="n"/>
      <x:c r="C5" s="25" t="n"/>
      <x:c r="D5" s="4" t="n"/>
      <x:c r="E5" s="25" t="n"/>
      <x:c r="F5" s="25" t="n"/>
      <x:c r="G5" s="25" t="n"/>
      <x:c r="H5" s="25" t="n"/>
      <x:c r="I5" s="25" t="n"/>
      <x:c r="J5" s="4" t="n"/>
      <x:c r="K5" s="22">
        <x:f>IF(COUNTA(F5:I5)=0,"",COUNTIF(F5:H5,"Yes")-IF(I5="Yes",1,0))</x:f>
      </x:c>
      <x:c r="L5" s="4" t="n"/>
      <x:c r="M5" s="4" t="n"/>
    </x:row>
    <x:row r="6" ht="22" customHeight="1">
      <x:c r="A6" s="40" t="n"/>
      <x:c r="B6" s="25" t="n"/>
      <x:c r="C6" s="25" t="n"/>
      <x:c r="D6" s="4" t="n"/>
      <x:c r="E6" s="25" t="n"/>
      <x:c r="F6" s="25" t="n"/>
      <x:c r="G6" s="25" t="n"/>
      <x:c r="H6" s="25" t="n"/>
      <x:c r="I6" s="25" t="n"/>
      <x:c r="J6" s="4" t="n"/>
      <x:c r="K6" s="22">
        <x:f>IF(COUNTA(F6:I6)=0,"",COUNTIF(F6:H6,"Yes")-IF(I6="Yes",1,0))</x:f>
      </x:c>
      <x:c r="L6" s="4" t="n"/>
      <x:c r="M6" s="4" t="n"/>
    </x:row>
    <x:row r="7" ht="22" customHeight="1">
      <x:c r="A7" s="40" t="n"/>
      <x:c r="B7" s="25" t="n"/>
      <x:c r="C7" s="25" t="n"/>
      <x:c r="D7" s="4" t="n"/>
      <x:c r="E7" s="25" t="n"/>
      <x:c r="F7" s="25" t="n"/>
      <x:c r="G7" s="25" t="n"/>
      <x:c r="H7" s="25" t="n"/>
      <x:c r="I7" s="25" t="n"/>
      <x:c r="J7" s="4" t="n"/>
      <x:c r="K7" s="22">
        <x:f>IF(COUNTA(F7:I7)=0,"",COUNTIF(F7:H7,"Yes")-IF(I7="Yes",1,0))</x:f>
      </x:c>
      <x:c r="L7" s="4" t="n"/>
      <x:c r="M7" s="4" t="n"/>
    </x:row>
    <x:row r="8" ht="22" customHeight="1">
      <x:c r="A8" s="40" t="n"/>
      <x:c r="B8" s="25" t="n"/>
      <x:c r="C8" s="25" t="n"/>
      <x:c r="D8" s="4" t="n"/>
      <x:c r="E8" s="25" t="n"/>
      <x:c r="F8" s="25" t="n"/>
      <x:c r="G8" s="25" t="n"/>
      <x:c r="H8" s="25" t="n"/>
      <x:c r="I8" s="25" t="n"/>
      <x:c r="J8" s="4" t="n"/>
      <x:c r="K8" s="22">
        <x:f>IF(COUNTA(F8:I8)=0,"",COUNTIF(F8:H8,"Yes")-IF(I8="Yes",1,0))</x:f>
      </x:c>
      <x:c r="L8" s="4" t="n"/>
      <x:c r="M8" s="4" t="n"/>
    </x:row>
    <x:row r="9" ht="22" customHeight="1">
      <x:c r="A9" s="40" t="n"/>
      <x:c r="B9" s="25" t="n"/>
      <x:c r="C9" s="25" t="n"/>
      <x:c r="D9" s="4" t="n"/>
      <x:c r="E9" s="25" t="n"/>
      <x:c r="F9" s="25" t="n"/>
      <x:c r="G9" s="25" t="n"/>
      <x:c r="H9" s="25" t="n"/>
      <x:c r="I9" s="25" t="n"/>
      <x:c r="J9" s="4" t="n"/>
      <x:c r="K9" s="22">
        <x:f>IF(COUNTA(F9:I9)=0,"",COUNTIF(F9:H9,"Yes")-IF(I9="Yes",1,0))</x:f>
      </x:c>
      <x:c r="L9" s="4" t="n"/>
      <x:c r="M9" s="4" t="n"/>
    </x:row>
    <x:row r="10" ht="22" customHeight="1">
      <x:c r="A10" s="40" t="n"/>
      <x:c r="B10" s="25" t="n"/>
      <x:c r="C10" s="25" t="n"/>
      <x:c r="D10" s="4" t="n"/>
      <x:c r="E10" s="25" t="n"/>
      <x:c r="F10" s="25" t="n"/>
      <x:c r="G10" s="25" t="n"/>
      <x:c r="H10" s="25" t="n"/>
      <x:c r="I10" s="25" t="n"/>
      <x:c r="J10" s="4" t="n"/>
      <x:c r="K10" s="22">
        <x:f>IF(COUNTA(F10:I10)=0,"",COUNTIF(F10:H10,"Yes")-IF(I10="Yes",1,0))</x:f>
      </x:c>
      <x:c r="L10" s="4" t="n"/>
      <x:c r="M10" s="4" t="n"/>
    </x:row>
    <x:row r="11" ht="22" customHeight="1">
      <x:c r="A11" s="40" t="n"/>
      <x:c r="B11" s="25" t="n"/>
      <x:c r="C11" s="25" t="n"/>
      <x:c r="D11" s="4" t="n"/>
      <x:c r="E11" s="25" t="n"/>
      <x:c r="F11" s="25" t="n"/>
      <x:c r="G11" s="25" t="n"/>
      <x:c r="H11" s="25" t="n"/>
      <x:c r="I11" s="25" t="n"/>
      <x:c r="J11" s="4" t="n"/>
      <x:c r="K11" s="22">
        <x:f>IF(COUNTA(F11:I11)=0,"",COUNTIF(F11:H11,"Yes")-IF(I11="Yes",1,0))</x:f>
      </x:c>
      <x:c r="L11" s="4" t="n"/>
      <x:c r="M11" s="4" t="n"/>
    </x:row>
    <x:row r="12" ht="22" customHeight="1">
      <x:c r="A12" s="40" t="n"/>
      <x:c r="B12" s="25" t="n"/>
      <x:c r="C12" s="25" t="n"/>
      <x:c r="D12" s="4" t="n"/>
      <x:c r="E12" s="25" t="n"/>
      <x:c r="F12" s="25" t="n"/>
      <x:c r="G12" s="25" t="n"/>
      <x:c r="H12" s="25" t="n"/>
      <x:c r="I12" s="25" t="n"/>
      <x:c r="J12" s="4" t="n"/>
      <x:c r="K12" s="22">
        <x:f>IF(COUNTA(F12:I12)=0,"",COUNTIF(F12:H12,"Yes")-IF(I12="Yes",1,0))</x:f>
      </x:c>
      <x:c r="L12" s="4" t="n"/>
      <x:c r="M12" s="4" t="n"/>
    </x:row>
    <x:row r="13" ht="22" customHeight="1">
      <x:c r="A13" s="40" t="n"/>
      <x:c r="B13" s="25" t="n"/>
      <x:c r="C13" s="25" t="n"/>
      <x:c r="D13" s="4" t="n"/>
      <x:c r="E13" s="25" t="n"/>
      <x:c r="F13" s="25" t="n"/>
      <x:c r="G13" s="25" t="n"/>
      <x:c r="H13" s="25" t="n"/>
      <x:c r="I13" s="25" t="n"/>
      <x:c r="J13" s="4" t="n"/>
      <x:c r="K13" s="22">
        <x:f>IF(COUNTA(F13:I13)=0,"",COUNTIF(F13:H13,"Yes")-IF(I13="Yes",1,0))</x:f>
      </x:c>
      <x:c r="L13" s="4" t="n"/>
      <x:c r="M13" s="4" t="n"/>
    </x:row>
    <x:row r="14" ht="22" customHeight="1">
      <x:c r="A14" s="40" t="n"/>
      <x:c r="B14" s="25" t="n"/>
      <x:c r="C14" s="25" t="n"/>
      <x:c r="D14" s="4" t="n"/>
      <x:c r="E14" s="25" t="n"/>
      <x:c r="F14" s="25" t="n"/>
      <x:c r="G14" s="25" t="n"/>
      <x:c r="H14" s="25" t="n"/>
      <x:c r="I14" s="25" t="n"/>
      <x:c r="J14" s="4" t="n"/>
      <x:c r="K14" s="22">
        <x:f>IF(COUNTA(F14:I14)=0,"",COUNTIF(F14:H14,"Yes")-IF(I14="Yes",1,0))</x:f>
      </x:c>
      <x:c r="L14" s="4" t="n"/>
      <x:c r="M14" s="4" t="n"/>
    </x:row>
    <x:row r="15" ht="22" customHeight="1">
      <x:c r="A15" s="40" t="n"/>
      <x:c r="B15" s="25" t="n"/>
      <x:c r="C15" s="25" t="n"/>
      <x:c r="D15" s="4" t="n"/>
      <x:c r="E15" s="25" t="n"/>
      <x:c r="F15" s="25" t="n"/>
      <x:c r="G15" s="25" t="n"/>
      <x:c r="H15" s="25" t="n"/>
      <x:c r="I15" s="25" t="n"/>
      <x:c r="J15" s="4" t="n"/>
      <x:c r="K15" s="22">
        <x:f>IF(COUNTA(F15:I15)=0,"",COUNTIF(F15:H15,"Yes")-IF(I15="Yes",1,0))</x:f>
      </x:c>
      <x:c r="L15" s="4" t="n"/>
      <x:c r="M15" s="4" t="n"/>
    </x:row>
    <x:row r="16" ht="22" customHeight="1">
      <x:c r="A16" s="40" t="n"/>
      <x:c r="B16" s="25" t="n"/>
      <x:c r="C16" s="25" t="n"/>
      <x:c r="D16" s="4" t="n"/>
      <x:c r="E16" s="25" t="n"/>
      <x:c r="F16" s="25" t="n"/>
      <x:c r="G16" s="25" t="n"/>
      <x:c r="H16" s="25" t="n"/>
      <x:c r="I16" s="25" t="n"/>
      <x:c r="J16" s="4" t="n"/>
      <x:c r="K16" s="22">
        <x:f>IF(COUNTA(F16:I16)=0,"",COUNTIF(F16:H16,"Yes")-IF(I16="Yes",1,0))</x:f>
      </x:c>
      <x:c r="L16" s="4" t="n"/>
      <x:c r="M16" s="4" t="n"/>
    </x:row>
    <x:row r="17" ht="22" customHeight="1">
      <x:c r="A17" s="40" t="n"/>
      <x:c r="B17" s="25" t="n"/>
      <x:c r="C17" s="25" t="n"/>
      <x:c r="D17" s="4" t="n"/>
      <x:c r="E17" s="25" t="n"/>
      <x:c r="F17" s="25" t="n"/>
      <x:c r="G17" s="25" t="n"/>
      <x:c r="H17" s="25" t="n"/>
      <x:c r="I17" s="25" t="n"/>
      <x:c r="J17" s="4" t="n"/>
      <x:c r="K17" s="22">
        <x:f>IF(COUNTA(F17:I17)=0,"",COUNTIF(F17:H17,"Yes")-IF(I17="Yes",1,0))</x:f>
      </x:c>
      <x:c r="L17" s="4" t="n"/>
      <x:c r="M17" s="4" t="n"/>
    </x:row>
    <x:row r="18" ht="22" customHeight="1">
      <x:c r="A18" s="40" t="n"/>
      <x:c r="B18" s="25" t="n"/>
      <x:c r="C18" s="25" t="n"/>
      <x:c r="D18" s="4" t="n"/>
      <x:c r="E18" s="25" t="n"/>
      <x:c r="F18" s="25" t="n"/>
      <x:c r="G18" s="25" t="n"/>
      <x:c r="H18" s="25" t="n"/>
      <x:c r="I18" s="25" t="n"/>
      <x:c r="J18" s="4" t="n"/>
      <x:c r="K18" s="22">
        <x:f>IF(COUNTA(F18:I18)=0,"",COUNTIF(F18:H18,"Yes")-IF(I18="Yes",1,0))</x:f>
      </x:c>
      <x:c r="L18" s="4" t="n"/>
      <x:c r="M18" s="4" t="n"/>
    </x:row>
    <x:row r="19" ht="22" customHeight="1">
      <x:c r="A19" s="40" t="n"/>
      <x:c r="B19" s="25" t="n"/>
      <x:c r="C19" s="25" t="n"/>
      <x:c r="D19" s="4" t="n"/>
      <x:c r="E19" s="25" t="n"/>
      <x:c r="F19" s="25" t="n"/>
      <x:c r="G19" s="25" t="n"/>
      <x:c r="H19" s="25" t="n"/>
      <x:c r="I19" s="25" t="n"/>
      <x:c r="J19" s="4" t="n"/>
      <x:c r="K19" s="22">
        <x:f>IF(COUNTA(F19:I19)=0,"",COUNTIF(F19:H19,"Yes")-IF(I19="Yes",1,0))</x:f>
      </x:c>
      <x:c r="L19" s="4" t="n"/>
      <x:c r="M19" s="4" t="n"/>
    </x:row>
    <x:row r="20" ht="22" customHeight="1">
      <x:c r="A20" s="40" t="n"/>
      <x:c r="B20" s="25" t="n"/>
      <x:c r="C20" s="25" t="n"/>
      <x:c r="D20" s="4" t="n"/>
      <x:c r="E20" s="25" t="n"/>
      <x:c r="F20" s="25" t="n"/>
      <x:c r="G20" s="25" t="n"/>
      <x:c r="H20" s="25" t="n"/>
      <x:c r="I20" s="25" t="n"/>
      <x:c r="J20" s="4" t="n"/>
      <x:c r="K20" s="22">
        <x:f>IF(COUNTA(F20:I20)=0,"",COUNTIF(F20:H20,"Yes")-IF(I20="Yes",1,0))</x:f>
      </x:c>
      <x:c r="L20" s="4" t="n"/>
      <x:c r="M20" s="4" t="n"/>
    </x:row>
    <x:row r="21" ht="22" customHeight="1">
      <x:c r="A21" s="40" t="n"/>
      <x:c r="B21" s="25" t="n"/>
      <x:c r="C21" s="25" t="n"/>
      <x:c r="D21" s="4" t="n"/>
      <x:c r="E21" s="25" t="n"/>
      <x:c r="F21" s="25" t="n"/>
      <x:c r="G21" s="25" t="n"/>
      <x:c r="H21" s="25" t="n"/>
      <x:c r="I21" s="25" t="n"/>
      <x:c r="J21" s="4" t="n"/>
      <x:c r="K21" s="22">
        <x:f>IF(COUNTA(F21:I21)=0,"",COUNTIF(F21:H21,"Yes")-IF(I21="Yes",1,0))</x:f>
      </x:c>
      <x:c r="L21" s="4" t="n"/>
      <x:c r="M21" s="4" t="n"/>
    </x:row>
    <x:row r="22" ht="22" customHeight="1">
      <x:c r="A22" s="40" t="n"/>
      <x:c r="B22" s="25" t="n"/>
      <x:c r="C22" s="25" t="n"/>
      <x:c r="D22" s="4" t="n"/>
      <x:c r="E22" s="25" t="n"/>
      <x:c r="F22" s="25" t="n"/>
      <x:c r="G22" s="25" t="n"/>
      <x:c r="H22" s="25" t="n"/>
      <x:c r="I22" s="25" t="n"/>
      <x:c r="J22" s="4" t="n"/>
      <x:c r="K22" s="22">
        <x:f>IF(COUNTA(F22:I22)=0,"",COUNTIF(F22:H22,"Yes")-IF(I22="Yes",1,0))</x:f>
      </x:c>
      <x:c r="L22" s="4" t="n"/>
      <x:c r="M22" s="4" t="n"/>
    </x:row>
    <x:row r="23" ht="22" customHeight="1">
      <x:c r="A23" s="40" t="n"/>
      <x:c r="B23" s="25" t="n"/>
      <x:c r="C23" s="25" t="n"/>
      <x:c r="D23" s="4" t="n"/>
      <x:c r="E23" s="25" t="n"/>
      <x:c r="F23" s="25" t="n"/>
      <x:c r="G23" s="25" t="n"/>
      <x:c r="H23" s="25" t="n"/>
      <x:c r="I23" s="25" t="n"/>
      <x:c r="J23" s="4" t="n"/>
      <x:c r="K23" s="22">
        <x:f>IF(COUNTA(F23:I23)=0,"",COUNTIF(F23:H23,"Yes")-IF(I23="Yes",1,0))</x:f>
      </x:c>
      <x:c r="L23" s="4" t="n"/>
      <x:c r="M23" s="4" t="n"/>
    </x:row>
    <x:row r="24" ht="22" customHeight="1">
      <x:c r="A24" s="40" t="n"/>
      <x:c r="B24" s="25" t="n"/>
      <x:c r="C24" s="25" t="n"/>
      <x:c r="D24" s="4" t="n"/>
      <x:c r="E24" s="25" t="n"/>
      <x:c r="F24" s="25" t="n"/>
      <x:c r="G24" s="25" t="n"/>
      <x:c r="H24" s="25" t="n"/>
      <x:c r="I24" s="25" t="n"/>
      <x:c r="J24" s="4" t="n"/>
      <x:c r="K24" s="22">
        <x:f>IF(COUNTA(F24:I24)=0,"",COUNTIF(F24:H24,"Yes")-IF(I24="Yes",1,0))</x:f>
      </x:c>
      <x:c r="L24" s="4" t="n"/>
      <x:c r="M24" s="4" t="n"/>
    </x:row>
    <x:row r="25" ht="22" customHeight="1">
      <x:c r="A25" s="40" t="n"/>
      <x:c r="B25" s="25" t="n"/>
      <x:c r="C25" s="25" t="n"/>
      <x:c r="D25" s="4" t="n"/>
      <x:c r="E25" s="25" t="n"/>
      <x:c r="F25" s="25" t="n"/>
      <x:c r="G25" s="25" t="n"/>
      <x:c r="H25" s="25" t="n"/>
      <x:c r="I25" s="25" t="n"/>
      <x:c r="J25" s="4" t="n"/>
      <x:c r="K25" s="22">
        <x:f>IF(COUNTA(F25:I25)=0,"",COUNTIF(F25:H25,"Yes")-IF(I25="Yes",1,0))</x:f>
      </x:c>
      <x:c r="L25" s="4" t="n"/>
      <x:c r="M25" s="4" t="n"/>
    </x:row>
    <x:row r="26" ht="22" customHeight="1">
      <x:c r="A26" s="40" t="n"/>
      <x:c r="B26" s="25" t="n"/>
      <x:c r="C26" s="25" t="n"/>
      <x:c r="D26" s="4" t="n"/>
      <x:c r="E26" s="25" t="n"/>
      <x:c r="F26" s="25" t="n"/>
      <x:c r="G26" s="25" t="n"/>
      <x:c r="H26" s="25" t="n"/>
      <x:c r="I26" s="25" t="n"/>
      <x:c r="J26" s="4" t="n"/>
      <x:c r="K26" s="22">
        <x:f>IF(COUNTA(F26:I26)=0,"",COUNTIF(F26:H26,"Yes")-IF(I26="Yes",1,0))</x:f>
      </x:c>
      <x:c r="L26" s="4" t="n"/>
      <x:c r="M26" s="4" t="n"/>
    </x:row>
    <x:row r="27" ht="22" customHeight="1">
      <x:c r="A27" s="40" t="n"/>
      <x:c r="B27" s="25" t="n"/>
      <x:c r="C27" s="25" t="n"/>
      <x:c r="D27" s="4" t="n"/>
      <x:c r="E27" s="25" t="n"/>
      <x:c r="F27" s="25" t="n"/>
      <x:c r="G27" s="25" t="n"/>
      <x:c r="H27" s="25" t="n"/>
      <x:c r="I27" s="25" t="n"/>
      <x:c r="J27" s="4" t="n"/>
      <x:c r="K27" s="22">
        <x:f>IF(COUNTA(F27:I27)=0,"",COUNTIF(F27:H27,"Yes")-IF(I27="Yes",1,0))</x:f>
      </x:c>
      <x:c r="L27" s="4" t="n"/>
      <x:c r="M27" s="4" t="n"/>
    </x:row>
    <x:row r="28" ht="22" customHeight="1">
      <x:c r="A28" s="40" t="n"/>
      <x:c r="B28" s="25" t="n"/>
      <x:c r="C28" s="25" t="n"/>
      <x:c r="D28" s="4" t="n"/>
      <x:c r="E28" s="25" t="n"/>
      <x:c r="F28" s="25" t="n"/>
      <x:c r="G28" s="25" t="n"/>
      <x:c r="H28" s="25" t="n"/>
      <x:c r="I28" s="25" t="n"/>
      <x:c r="J28" s="4" t="n"/>
      <x:c r="K28" s="22">
        <x:f>IF(COUNTA(F28:I28)=0,"",COUNTIF(F28:H28,"Yes")-IF(I28="Yes",1,0))</x:f>
      </x:c>
      <x:c r="L28" s="4" t="n"/>
      <x:c r="M28" s="4" t="n"/>
    </x:row>
    <x:row r="29" ht="22" customHeight="1">
      <x:c r="A29" s="40" t="n"/>
      <x:c r="B29" s="25" t="n"/>
      <x:c r="C29" s="25" t="n"/>
      <x:c r="D29" s="4" t="n"/>
      <x:c r="E29" s="25" t="n"/>
      <x:c r="F29" s="25" t="n"/>
      <x:c r="G29" s="25" t="n"/>
      <x:c r="H29" s="25" t="n"/>
      <x:c r="I29" s="25" t="n"/>
      <x:c r="J29" s="4" t="n"/>
      <x:c r="K29" s="22">
        <x:f>IF(COUNTA(F29:I29)=0,"",COUNTIF(F29:H29,"Yes")-IF(I29="Yes",1,0))</x:f>
      </x:c>
      <x:c r="L29" s="4" t="n"/>
      <x:c r="M29" s="4" t="n"/>
    </x:row>
    <x:row r="30" ht="22" customHeight="1">
      <x:c r="A30" s="40" t="n"/>
      <x:c r="B30" s="25" t="n"/>
      <x:c r="C30" s="25" t="n"/>
      <x:c r="D30" s="4" t="n"/>
      <x:c r="E30" s="25" t="n"/>
      <x:c r="F30" s="25" t="n"/>
      <x:c r="G30" s="25" t="n"/>
      <x:c r="H30" s="25" t="n"/>
      <x:c r="I30" s="25" t="n"/>
      <x:c r="J30" s="4" t="n"/>
      <x:c r="K30" s="22">
        <x:f>IF(COUNTA(F30:I30)=0,"",COUNTIF(F30:H30,"Yes")-IF(I30="Yes",1,0))</x:f>
      </x:c>
      <x:c r="L30" s="4" t="n"/>
      <x:c r="M30" s="4" t="n"/>
    </x:row>
    <x:row r="31" ht="22" customHeight="1">
      <x:c r="A31" s="40" t="n"/>
      <x:c r="B31" s="25" t="n"/>
      <x:c r="C31" s="25" t="n"/>
      <x:c r="D31" s="4" t="n"/>
      <x:c r="E31" s="25" t="n"/>
      <x:c r="F31" s="25" t="n"/>
      <x:c r="G31" s="25" t="n"/>
      <x:c r="H31" s="25" t="n"/>
      <x:c r="I31" s="25" t="n"/>
      <x:c r="J31" s="4" t="n"/>
      <x:c r="K31" s="22">
        <x:f>IF(COUNTA(F31:I31)=0,"",COUNTIF(F31:H31,"Yes")-IF(I31="Yes",1,0))</x:f>
      </x:c>
      <x:c r="L31" s="4" t="n"/>
      <x:c r="M31" s="4" t="n"/>
    </x:row>
    <x:row r="32" ht="22" customHeight="1">
      <x:c r="A32" s="40" t="n"/>
      <x:c r="B32" s="25" t="n"/>
      <x:c r="C32" s="25" t="n"/>
      <x:c r="D32" s="4" t="n"/>
      <x:c r="E32" s="25" t="n"/>
      <x:c r="F32" s="25" t="n"/>
      <x:c r="G32" s="25" t="n"/>
      <x:c r="H32" s="25" t="n"/>
      <x:c r="I32" s="25" t="n"/>
      <x:c r="J32" s="4" t="n"/>
      <x:c r="K32" s="22">
        <x:f>IF(COUNTA(F32:I32)=0,"",COUNTIF(F32:H32,"Yes")-IF(I32="Yes",1,0))</x:f>
      </x:c>
      <x:c r="L32" s="4" t="n"/>
      <x:c r="M32" s="4" t="n"/>
    </x:row>
    <x:row r="33" ht="22" customHeight="1">
      <x:c r="A33" s="40" t="n"/>
      <x:c r="B33" s="25" t="n"/>
      <x:c r="C33" s="25" t="n"/>
      <x:c r="D33" s="4" t="n"/>
      <x:c r="E33" s="25" t="n"/>
      <x:c r="F33" s="25" t="n"/>
      <x:c r="G33" s="25" t="n"/>
      <x:c r="H33" s="25" t="n"/>
      <x:c r="I33" s="25" t="n"/>
      <x:c r="J33" s="4" t="n"/>
      <x:c r="K33" s="22">
        <x:f>IF(COUNTA(F33:I33)=0,"",COUNTIF(F33:H33,"Yes")-IF(I33="Yes",1,0))</x:f>
      </x:c>
      <x:c r="L33" s="4" t="n"/>
      <x:c r="M33" s="4" t="n"/>
    </x:row>
    <x:row r="34" ht="22" customHeight="1">
      <x:c r="A34" s="40" t="n"/>
      <x:c r="B34" s="25" t="n"/>
      <x:c r="C34" s="25" t="n"/>
      <x:c r="D34" s="4" t="n"/>
      <x:c r="E34" s="25" t="n"/>
      <x:c r="F34" s="25" t="n"/>
      <x:c r="G34" s="25" t="n"/>
      <x:c r="H34" s="25" t="n"/>
      <x:c r="I34" s="25" t="n"/>
      <x:c r="J34" s="4" t="n"/>
      <x:c r="K34" s="22">
        <x:f>IF(COUNTA(F34:I34)=0,"",COUNTIF(F34:H34,"Yes")-IF(I34="Yes",1,0))</x:f>
      </x:c>
      <x:c r="L34" s="4" t="n"/>
      <x:c r="M34" s="4" t="n"/>
    </x:row>
    <x:row r="35" ht="22" customHeight="1">
      <x:c r="A35" s="40" t="n"/>
      <x:c r="B35" s="25" t="n"/>
      <x:c r="C35" s="25" t="n"/>
      <x:c r="D35" s="4" t="n"/>
      <x:c r="E35" s="25" t="n"/>
      <x:c r="F35" s="25" t="n"/>
      <x:c r="G35" s="25" t="n"/>
      <x:c r="H35" s="25" t="n"/>
      <x:c r="I35" s="25" t="n"/>
      <x:c r="J35" s="4" t="n"/>
      <x:c r="K35" s="22">
        <x:f>IF(COUNTA(F35:I35)=0,"",COUNTIF(F35:H35,"Yes")-IF(I35="Yes",1,0))</x:f>
      </x:c>
      <x:c r="L35" s="4" t="n"/>
      <x:c r="M35" s="4" t="n"/>
    </x:row>
    <x:row r="36" ht="22" customHeight="1">
      <x:c r="A36" s="40" t="n"/>
      <x:c r="B36" s="25" t="n"/>
      <x:c r="C36" s="25" t="n"/>
      <x:c r="D36" s="4" t="n"/>
      <x:c r="E36" s="25" t="n"/>
      <x:c r="F36" s="25" t="n"/>
      <x:c r="G36" s="25" t="n"/>
      <x:c r="H36" s="25" t="n"/>
      <x:c r="I36" s="25" t="n"/>
      <x:c r="J36" s="4" t="n"/>
      <x:c r="K36" s="22">
        <x:f>IF(COUNTA(F36:I36)=0,"",COUNTIF(F36:H36,"Yes")-IF(I36="Yes",1,0))</x:f>
      </x:c>
      <x:c r="L36" s="4" t="n"/>
      <x:c r="M36" s="4" t="n"/>
    </x:row>
    <x:row r="37" ht="22" customHeight="1">
      <x:c r="A37" s="40" t="n"/>
      <x:c r="B37" s="25" t="n"/>
      <x:c r="C37" s="25" t="n"/>
      <x:c r="D37" s="4" t="n"/>
      <x:c r="E37" s="25" t="n"/>
      <x:c r="F37" s="25" t="n"/>
      <x:c r="G37" s="25" t="n"/>
      <x:c r="H37" s="25" t="n"/>
      <x:c r="I37" s="25" t="n"/>
      <x:c r="J37" s="4" t="n"/>
      <x:c r="K37" s="22">
        <x:f>IF(COUNTA(F37:I37)=0,"",COUNTIF(F37:H37,"Yes")-IF(I37="Yes",1,0))</x:f>
      </x:c>
      <x:c r="L37" s="4" t="n"/>
      <x:c r="M37" s="4" t="n"/>
    </x:row>
    <x:row r="38" ht="22" customHeight="1">
      <x:c r="A38" s="40" t="n"/>
      <x:c r="B38" s="25" t="n"/>
      <x:c r="C38" s="25" t="n"/>
      <x:c r="D38" s="4" t="n"/>
      <x:c r="E38" s="25" t="n"/>
      <x:c r="F38" s="25" t="n"/>
      <x:c r="G38" s="25" t="n"/>
      <x:c r="H38" s="25" t="n"/>
      <x:c r="I38" s="25" t="n"/>
      <x:c r="J38" s="4" t="n"/>
      <x:c r="K38" s="22">
        <x:f>IF(COUNTA(F38:I38)=0,"",COUNTIF(F38:H38,"Yes")-IF(I38="Yes",1,0))</x:f>
      </x:c>
      <x:c r="L38" s="4" t="n"/>
      <x:c r="M38" s="4" t="n"/>
    </x:row>
    <x:row r="39" ht="22" customHeight="1">
      <x:c r="A39" s="40" t="n"/>
      <x:c r="B39" s="25" t="n"/>
      <x:c r="C39" s="25" t="n"/>
      <x:c r="D39" s="4" t="n"/>
      <x:c r="E39" s="25" t="n"/>
      <x:c r="F39" s="25" t="n"/>
      <x:c r="G39" s="25" t="n"/>
      <x:c r="H39" s="25" t="n"/>
      <x:c r="I39" s="25" t="n"/>
      <x:c r="J39" s="4" t="n"/>
      <x:c r="K39" s="22">
        <x:f>IF(COUNTA(F39:I39)=0,"",COUNTIF(F39:H39,"Yes")-IF(I39="Yes",1,0))</x:f>
      </x:c>
      <x:c r="L39" s="4" t="n"/>
      <x:c r="M39" s="4" t="n"/>
    </x:row>
  </x:sheetData>
  <x:mergeCells>
    <x:mergeCell ref="A2:M2"/>
    <x:mergeCell ref="A1:M1"/>
  </x:mergeCells>
  <x:conditionalFormatting sqref="K4:K39">
    <x:cfRule type="colorScale" priority="1">
      <x:colorScale>
        <x:cfvo type="num" val="-1"/>
        <x:cfvo type="num" val="1"/>
        <x:cfvo type="num" val="3"/>
        <x:color rgb="00FDEDEC"/>
        <x:color rgb="00FFF3CD"/>
        <x:color rgb="00D4EDDA"/>
      </x:colorScale>
    </x:cfRule>
  </x:conditionalFormatting>
  <x:dataValidations count="4">
    <x:dataValidation type="list" allowBlank="1" showDropDown="0" showInputMessage="0" showErrorMessage="0" sqref="B4:B39">
      <x:formula1>=PlatformList</x:formula1>
    </x:dataValidation>
    <x:dataValidation type="list" allowBlank="1" showDropDown="0" showInputMessage="0" showErrorMessage="0" sqref="C4:C39">
      <x:formula1>=PromptTypeList</x:formula1>
    </x:dataValidation>
    <x:dataValidation type="list" allowBlank="1" showDropDown="0" showInputMessage="0" showErrorMessage="0" sqref="F4:I39">
      <x:formula1>=YesNoList</x:formula1>
    </x:dataValidation>
    <x:dataValidation type="list" allowBlank="1" showDropDown="0" showInputMessage="0" showErrorMessage="0" sqref="E4:E39">
      <x:formula1>=PropertyList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2457b12a594a3f"/>
  </x:tableParts>
</x:worksheet>
</file>

<file path=xl/worksheets/sheet4.xml><?xml version="1.0" encoding="utf-8"?>
<x:worksheet xmlns:x="http://schemas.openxmlformats.org/spreadsheetml/2006/main">
  <x:sheetPr>
    <x:tabColor rgb="00F4A261"/>
  </x:sheetPr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20" customWidth="1"/>
    <x:col min="4" max="4" width="26" customWidth="1"/>
    <x:col min="5" max="5" width="12" customWidth="1"/>
    <x:col min="6" max="6" width="10" customWidth="1"/>
    <x:col min="7" max="7" width="10" customWidth="1"/>
    <x:col min="8" max="8" width="9" customWidth="1"/>
    <x:col min="9" max="9" width="11" customWidth="1"/>
    <x:col min="10" max="10" width="10" customWidth="1"/>
    <x:col min="11" max="11" width="10" customWidth="1"/>
    <x:col min="12" max="12" width="9" customWidth="1"/>
    <x:col min="13" max="13" width="11" customWidth="1"/>
    <x:col min="14" max="14" width="10" customWidth="1"/>
    <x:col min="15" max="15" width="10" customWidth="1"/>
    <x:col min="16" max="16" width="9" customWidth="1"/>
    <x:col min="17" max="17" width="11" customWidth="1"/>
    <x:col min="18" max="18" width="16" customWidth="1"/>
    <x:col min="19" max="19" width="16" customWidth="1"/>
    <x:col min="20" max="20" width="24" customWidth="1"/>
    <x:col min="21" max="21" width="24" customWidth="1"/>
  </x:cols>
  <x:sheetData>
    <x:row r="1">
      <x:c r="A1" s="1" t="inlineStr">
        <x:is>
          <x:t xml:space="preserve">7 / 14 / 30 Day Campaign Review</x:t>
        </x:is>
      </x:c>
    </x:row>
    <x:row r="2">
      <x:c r="A2" s="2" t="inlineStr">
        <x:is>
          <x:t xml:space="preserve">Use this when a campaign launches. Keep the same campaign row open and fill it at day 7, 14, and 30.</x:t>
        </x:is>
      </x:c>
    </x:row>
    <x:row r="3">
      <x:c r="A3" s="26" t="inlineStr">
        <x:is>
          <x:t xml:space="preserve">Campaign Name</x:t>
        </x:is>
      </x:c>
      <x:c r="B3" s="26" t="inlineStr">
        <x:is>
          <x:t xml:space="preserve">Property</x:t>
        </x:is>
      </x:c>
      <x:c r="C3" s="26" t="inlineStr">
        <x:is>
          <x:t xml:space="preserve">Primary Topic</x:t>
        </x:is>
      </x:c>
      <x:c r="D3" s="26" t="inlineStr">
        <x:is>
          <x:t xml:space="preserve">Canonical URL</x:t>
        </x:is>
      </x:c>
      <x:c r="E3" s="26" t="inlineStr">
        <x:is>
          <x:t xml:space="preserve">Launch Date</x:t>
        </x:is>
      </x:c>
      <x:c r="F3" s="26" t="inlineStr">
        <x:is>
          <x:t xml:space="preserve">7d Impr.</x:t>
        </x:is>
      </x:c>
      <x:c r="G3" s="26" t="inlineStr">
        <x:is>
          <x:t xml:space="preserve">7d Clicks</x:t>
        </x:is>
      </x:c>
      <x:c r="H3" s="26" t="inlineStr">
        <x:is>
          <x:t xml:space="preserve">7d CTR</x:t>
        </x:is>
      </x:c>
      <x:c r="I3" s="26" t="inlineStr">
        <x:is>
          <x:t xml:space="preserve">7d Enquiries</x:t>
        </x:is>
      </x:c>
      <x:c r="J3" s="26" t="inlineStr">
        <x:is>
          <x:t xml:space="preserve">14d Impr.</x:t>
        </x:is>
      </x:c>
      <x:c r="K3" s="26" t="inlineStr">
        <x:is>
          <x:t xml:space="preserve">14d Clicks</x:t>
        </x:is>
      </x:c>
      <x:c r="L3" s="26" t="inlineStr">
        <x:is>
          <x:t xml:space="preserve">14d CTR</x:t>
        </x:is>
      </x:c>
      <x:c r="M3" s="26" t="inlineStr">
        <x:is>
          <x:t xml:space="preserve">14d Enquiries</x:t>
        </x:is>
      </x:c>
      <x:c r="N3" s="26" t="inlineStr">
        <x:is>
          <x:t xml:space="preserve">30d Impr.</x:t>
        </x:is>
      </x:c>
      <x:c r="O3" s="26" t="inlineStr">
        <x:is>
          <x:t xml:space="preserve">30d Clicks</x:t>
        </x:is>
      </x:c>
      <x:c r="P3" s="26" t="inlineStr">
        <x:is>
          <x:t xml:space="preserve">30d CTR</x:t>
        </x:is>
      </x:c>
      <x:c r="Q3" s="26" t="inlineStr">
        <x:is>
          <x:t xml:space="preserve">30d Enquiries</x:t>
        </x:is>
      </x:c>
      <x:c r="R3" s="26" t="inlineStr">
        <x:is>
          <x:t xml:space="preserve">New External Mentions</x:t>
        </x:is>
      </x:c>
      <x:c r="S3" s="26" t="inlineStr">
        <x:is>
          <x:t xml:space="preserve">LLM Pickup Improved?</x:t>
        </x:is>
      </x:c>
      <x:c r="T3" s="26" t="inlineStr">
        <x:is>
          <x:t xml:space="preserve">What Failed</x:t>
        </x:is>
      </x:c>
      <x:c r="U3" s="26" t="inlineStr">
        <x:is>
          <x:t xml:space="preserve">Next Change</x:t>
        </x:is>
      </x:c>
    </x:row>
    <x:row r="4">
      <x:c r="A4" s="4" t="n"/>
      <x:c r="B4" s="25" t="n"/>
      <x:c r="C4" s="4" t="n"/>
      <x:c r="D4" s="4" t="n"/>
      <x:c r="E4" s="40" t="n"/>
      <x:c r="F4" s="25" t="n"/>
      <x:c r="G4" s="25" t="n"/>
      <x:c r="H4" s="38">
        <x:f>IF(COUNTA(F4:G4)=0,"",IFERROR(G4/F4,0))</x:f>
      </x:c>
      <x:c r="I4" s="25" t="n"/>
      <x:c r="J4" s="25" t="n"/>
      <x:c r="K4" s="25" t="n"/>
      <x:c r="L4" s="38">
        <x:f>IF(COUNTA(J4:K4)=0,"",IFERROR(K4/J4,0))</x:f>
      </x:c>
      <x:c r="M4" s="25" t="n"/>
      <x:c r="N4" s="25" t="n"/>
      <x:c r="O4" s="25" t="n"/>
      <x:c r="P4" s="38">
        <x:f>IF(COUNTA(N4:O4)=0,"",IFERROR(O4/N4,0))</x:f>
      </x:c>
      <x:c r="Q4" s="25" t="n"/>
      <x:c r="R4" s="25" t="n"/>
      <x:c r="S4" s="25" t="n"/>
      <x:c r="T4" s="4" t="n"/>
      <x:c r="U4" s="4" t="n"/>
    </x:row>
    <x:row r="5">
      <x:c r="A5" s="4" t="n"/>
      <x:c r="B5" s="25" t="n"/>
      <x:c r="C5" s="4" t="n"/>
      <x:c r="D5" s="4" t="n"/>
      <x:c r="E5" s="40" t="n"/>
      <x:c r="F5" s="25" t="n"/>
      <x:c r="G5" s="25" t="n"/>
      <x:c r="H5" s="38">
        <x:f>IF(COUNTA(F5:G5)=0,"",IFERROR(G5/F5,0))</x:f>
      </x:c>
      <x:c r="I5" s="25" t="n"/>
      <x:c r="J5" s="25" t="n"/>
      <x:c r="K5" s="25" t="n"/>
      <x:c r="L5" s="38">
        <x:f>IF(COUNTA(J5:K5)=0,"",IFERROR(K5/J5,0))</x:f>
      </x:c>
      <x:c r="M5" s="25" t="n"/>
      <x:c r="N5" s="25" t="n"/>
      <x:c r="O5" s="25" t="n"/>
      <x:c r="P5" s="38">
        <x:f>IF(COUNTA(N5:O5)=0,"",IFERROR(O5/N5,0))</x:f>
      </x:c>
      <x:c r="Q5" s="25" t="n"/>
      <x:c r="R5" s="25" t="n"/>
      <x:c r="S5" s="25" t="n"/>
      <x:c r="T5" s="4" t="n"/>
      <x:c r="U5" s="4" t="n"/>
    </x:row>
    <x:row r="6">
      <x:c r="A6" s="4" t="n"/>
      <x:c r="B6" s="25" t="n"/>
      <x:c r="C6" s="4" t="n"/>
      <x:c r="D6" s="4" t="n"/>
      <x:c r="E6" s="40" t="n"/>
      <x:c r="F6" s="25" t="n"/>
      <x:c r="G6" s="25" t="n"/>
      <x:c r="H6" s="38">
        <x:f>IF(COUNTA(F6:G6)=0,"",IFERROR(G6/F6,0))</x:f>
      </x:c>
      <x:c r="I6" s="25" t="n"/>
      <x:c r="J6" s="25" t="n"/>
      <x:c r="K6" s="25" t="n"/>
      <x:c r="L6" s="38">
        <x:f>IF(COUNTA(J6:K6)=0,"",IFERROR(K6/J6,0))</x:f>
      </x:c>
      <x:c r="M6" s="25" t="n"/>
      <x:c r="N6" s="25" t="n"/>
      <x:c r="O6" s="25" t="n"/>
      <x:c r="P6" s="38">
        <x:f>IF(COUNTA(N6:O6)=0,"",IFERROR(O6/N6,0))</x:f>
      </x:c>
      <x:c r="Q6" s="25" t="n"/>
      <x:c r="R6" s="25" t="n"/>
      <x:c r="S6" s="25" t="n"/>
      <x:c r="T6" s="4" t="n"/>
      <x:c r="U6" s="4" t="n"/>
    </x:row>
    <x:row r="7">
      <x:c r="A7" s="4" t="n"/>
      <x:c r="B7" s="25" t="n"/>
      <x:c r="C7" s="4" t="n"/>
      <x:c r="D7" s="4" t="n"/>
      <x:c r="E7" s="40" t="n"/>
      <x:c r="F7" s="25" t="n"/>
      <x:c r="G7" s="25" t="n"/>
      <x:c r="H7" s="38">
        <x:f>IF(COUNTA(F7:G7)=0,"",IFERROR(G7/F7,0))</x:f>
      </x:c>
      <x:c r="I7" s="25" t="n"/>
      <x:c r="J7" s="25" t="n"/>
      <x:c r="K7" s="25" t="n"/>
      <x:c r="L7" s="38">
        <x:f>IF(COUNTA(J7:K7)=0,"",IFERROR(K7/J7,0))</x:f>
      </x:c>
      <x:c r="M7" s="25" t="n"/>
      <x:c r="N7" s="25" t="n"/>
      <x:c r="O7" s="25" t="n"/>
      <x:c r="P7" s="38">
        <x:f>IF(COUNTA(N7:O7)=0,"",IFERROR(O7/N7,0))</x:f>
      </x:c>
      <x:c r="Q7" s="25" t="n"/>
      <x:c r="R7" s="25" t="n"/>
      <x:c r="S7" s="25" t="n"/>
      <x:c r="T7" s="4" t="n"/>
      <x:c r="U7" s="4" t="n"/>
    </x:row>
    <x:row r="8">
      <x:c r="A8" s="4" t="n"/>
      <x:c r="B8" s="25" t="n"/>
      <x:c r="C8" s="4" t="n"/>
      <x:c r="D8" s="4" t="n"/>
      <x:c r="E8" s="40" t="n"/>
      <x:c r="F8" s="25" t="n"/>
      <x:c r="G8" s="25" t="n"/>
      <x:c r="H8" s="38">
        <x:f>IF(COUNTA(F8:G8)=0,"",IFERROR(G8/F8,0))</x:f>
      </x:c>
      <x:c r="I8" s="25" t="n"/>
      <x:c r="J8" s="25" t="n"/>
      <x:c r="K8" s="25" t="n"/>
      <x:c r="L8" s="38">
        <x:f>IF(COUNTA(J8:K8)=0,"",IFERROR(K8/J8,0))</x:f>
      </x:c>
      <x:c r="M8" s="25" t="n"/>
      <x:c r="N8" s="25" t="n"/>
      <x:c r="O8" s="25" t="n"/>
      <x:c r="P8" s="38">
        <x:f>IF(COUNTA(N8:O8)=0,"",IFERROR(O8/N8,0))</x:f>
      </x:c>
      <x:c r="Q8" s="25" t="n"/>
      <x:c r="R8" s="25" t="n"/>
      <x:c r="S8" s="25" t="n"/>
      <x:c r="T8" s="4" t="n"/>
      <x:c r="U8" s="4" t="n"/>
    </x:row>
    <x:row r="9">
      <x:c r="A9" s="4" t="n"/>
      <x:c r="B9" s="25" t="n"/>
      <x:c r="C9" s="4" t="n"/>
      <x:c r="D9" s="4" t="n"/>
      <x:c r="E9" s="40" t="n"/>
      <x:c r="F9" s="25" t="n"/>
      <x:c r="G9" s="25" t="n"/>
      <x:c r="H9" s="38">
        <x:f>IF(COUNTA(F9:G9)=0,"",IFERROR(G9/F9,0))</x:f>
      </x:c>
      <x:c r="I9" s="25" t="n"/>
      <x:c r="J9" s="25" t="n"/>
      <x:c r="K9" s="25" t="n"/>
      <x:c r="L9" s="38">
        <x:f>IF(COUNTA(J9:K9)=0,"",IFERROR(K9/J9,0))</x:f>
      </x:c>
      <x:c r="M9" s="25" t="n"/>
      <x:c r="N9" s="25" t="n"/>
      <x:c r="O9" s="25" t="n"/>
      <x:c r="P9" s="38">
        <x:f>IF(COUNTA(N9:O9)=0,"",IFERROR(O9/N9,0))</x:f>
      </x:c>
      <x:c r="Q9" s="25" t="n"/>
      <x:c r="R9" s="25" t="n"/>
      <x:c r="S9" s="25" t="n"/>
      <x:c r="T9" s="4" t="n"/>
      <x:c r="U9" s="4" t="n"/>
    </x:row>
    <x:row r="10">
      <x:c r="A10" s="4" t="n"/>
      <x:c r="B10" s="25" t="n"/>
      <x:c r="C10" s="4" t="n"/>
      <x:c r="D10" s="4" t="n"/>
      <x:c r="E10" s="40" t="n"/>
      <x:c r="F10" s="25" t="n"/>
      <x:c r="G10" s="25" t="n"/>
      <x:c r="H10" s="38">
        <x:f>IF(COUNTA(F10:G10)=0,"",IFERROR(G10/F10,0))</x:f>
      </x:c>
      <x:c r="I10" s="25" t="n"/>
      <x:c r="J10" s="25" t="n"/>
      <x:c r="K10" s="25" t="n"/>
      <x:c r="L10" s="38">
        <x:f>IF(COUNTA(J10:K10)=0,"",IFERROR(K10/J10,0))</x:f>
      </x:c>
      <x:c r="M10" s="25" t="n"/>
      <x:c r="N10" s="25" t="n"/>
      <x:c r="O10" s="25" t="n"/>
      <x:c r="P10" s="38">
        <x:f>IF(COUNTA(N10:O10)=0,"",IFERROR(O10/N10,0))</x:f>
      </x:c>
      <x:c r="Q10" s="25" t="n"/>
      <x:c r="R10" s="25" t="n"/>
      <x:c r="S10" s="25" t="n"/>
      <x:c r="T10" s="4" t="n"/>
      <x:c r="U10" s="4" t="n"/>
    </x:row>
    <x:row r="11">
      <x:c r="A11" s="4" t="n"/>
      <x:c r="B11" s="25" t="n"/>
      <x:c r="C11" s="4" t="n"/>
      <x:c r="D11" s="4" t="n"/>
      <x:c r="E11" s="40" t="n"/>
      <x:c r="F11" s="25" t="n"/>
      <x:c r="G11" s="25" t="n"/>
      <x:c r="H11" s="38">
        <x:f>IF(COUNTA(F11:G11)=0,"",IFERROR(G11/F11,0))</x:f>
      </x:c>
      <x:c r="I11" s="25" t="n"/>
      <x:c r="J11" s="25" t="n"/>
      <x:c r="K11" s="25" t="n"/>
      <x:c r="L11" s="38">
        <x:f>IF(COUNTA(J11:K11)=0,"",IFERROR(K11/J11,0))</x:f>
      </x:c>
      <x:c r="M11" s="25" t="n"/>
      <x:c r="N11" s="25" t="n"/>
      <x:c r="O11" s="25" t="n"/>
      <x:c r="P11" s="38">
        <x:f>IF(COUNTA(N11:O11)=0,"",IFERROR(O11/N11,0))</x:f>
      </x:c>
      <x:c r="Q11" s="25" t="n"/>
      <x:c r="R11" s="25" t="n"/>
      <x:c r="S11" s="25" t="n"/>
      <x:c r="T11" s="4" t="n"/>
      <x:c r="U11" s="4" t="n"/>
    </x:row>
    <x:row r="12">
      <x:c r="A12" s="4" t="n"/>
      <x:c r="B12" s="25" t="n"/>
      <x:c r="C12" s="4" t="n"/>
      <x:c r="D12" s="4" t="n"/>
      <x:c r="E12" s="40" t="n"/>
      <x:c r="F12" s="25" t="n"/>
      <x:c r="G12" s="25" t="n"/>
      <x:c r="H12" s="38">
        <x:f>IF(COUNTA(F12:G12)=0,"",IFERROR(G12/F12,0))</x:f>
      </x:c>
      <x:c r="I12" s="25" t="n"/>
      <x:c r="J12" s="25" t="n"/>
      <x:c r="K12" s="25" t="n"/>
      <x:c r="L12" s="38">
        <x:f>IF(COUNTA(J12:K12)=0,"",IFERROR(K12/J12,0))</x:f>
      </x:c>
      <x:c r="M12" s="25" t="n"/>
      <x:c r="N12" s="25" t="n"/>
      <x:c r="O12" s="25" t="n"/>
      <x:c r="P12" s="38">
        <x:f>IF(COUNTA(N12:O12)=0,"",IFERROR(O12/N12,0))</x:f>
      </x:c>
      <x:c r="Q12" s="25" t="n"/>
      <x:c r="R12" s="25" t="n"/>
      <x:c r="S12" s="25" t="n"/>
      <x:c r="T12" s="4" t="n"/>
      <x:c r="U12" s="4" t="n"/>
    </x:row>
    <x:row r="13">
      <x:c r="A13" s="4" t="n"/>
      <x:c r="B13" s="25" t="n"/>
      <x:c r="C13" s="4" t="n"/>
      <x:c r="D13" s="4" t="n"/>
      <x:c r="E13" s="40" t="n"/>
      <x:c r="F13" s="25" t="n"/>
      <x:c r="G13" s="25" t="n"/>
      <x:c r="H13" s="38">
        <x:f>IF(COUNTA(F13:G13)=0,"",IFERROR(G13/F13,0))</x:f>
      </x:c>
      <x:c r="I13" s="25" t="n"/>
      <x:c r="J13" s="25" t="n"/>
      <x:c r="K13" s="25" t="n"/>
      <x:c r="L13" s="38">
        <x:f>IF(COUNTA(J13:K13)=0,"",IFERROR(K13/J13,0))</x:f>
      </x:c>
      <x:c r="M13" s="25" t="n"/>
      <x:c r="N13" s="25" t="n"/>
      <x:c r="O13" s="25" t="n"/>
      <x:c r="P13" s="38">
        <x:f>IF(COUNTA(N13:O13)=0,"",IFERROR(O13/N13,0))</x:f>
      </x:c>
      <x:c r="Q13" s="25" t="n"/>
      <x:c r="R13" s="25" t="n"/>
      <x:c r="S13" s="25" t="n"/>
      <x:c r="T13" s="4" t="n"/>
      <x:c r="U13" s="4" t="n"/>
    </x:row>
    <x:row r="14">
      <x:c r="A14" s="4" t="n"/>
      <x:c r="B14" s="25" t="n"/>
      <x:c r="C14" s="4" t="n"/>
      <x:c r="D14" s="4" t="n"/>
      <x:c r="E14" s="40" t="n"/>
      <x:c r="F14" s="25" t="n"/>
      <x:c r="G14" s="25" t="n"/>
      <x:c r="H14" s="38">
        <x:f>IF(COUNTA(F14:G14)=0,"",IFERROR(G14/F14,0))</x:f>
      </x:c>
      <x:c r="I14" s="25" t="n"/>
      <x:c r="J14" s="25" t="n"/>
      <x:c r="K14" s="25" t="n"/>
      <x:c r="L14" s="38">
        <x:f>IF(COUNTA(J14:K14)=0,"",IFERROR(K14/J14,0))</x:f>
      </x:c>
      <x:c r="M14" s="25" t="n"/>
      <x:c r="N14" s="25" t="n"/>
      <x:c r="O14" s="25" t="n"/>
      <x:c r="P14" s="38">
        <x:f>IF(COUNTA(N14:O14)=0,"",IFERROR(O14/N14,0))</x:f>
      </x:c>
      <x:c r="Q14" s="25" t="n"/>
      <x:c r="R14" s="25" t="n"/>
      <x:c r="S14" s="25" t="n"/>
      <x:c r="T14" s="4" t="n"/>
      <x:c r="U14" s="4" t="n"/>
    </x:row>
    <x:row r="15">
      <x:c r="A15" s="4" t="n"/>
      <x:c r="B15" s="25" t="n"/>
      <x:c r="C15" s="4" t="n"/>
      <x:c r="D15" s="4" t="n"/>
      <x:c r="E15" s="40" t="n"/>
      <x:c r="F15" s="25" t="n"/>
      <x:c r="G15" s="25" t="n"/>
      <x:c r="H15" s="38">
        <x:f>IF(COUNTA(F15:G15)=0,"",IFERROR(G15/F15,0))</x:f>
      </x:c>
      <x:c r="I15" s="25" t="n"/>
      <x:c r="J15" s="25" t="n"/>
      <x:c r="K15" s="25" t="n"/>
      <x:c r="L15" s="38">
        <x:f>IF(COUNTA(J15:K15)=0,"",IFERROR(K15/J15,0))</x:f>
      </x:c>
      <x:c r="M15" s="25" t="n"/>
      <x:c r="N15" s="25" t="n"/>
      <x:c r="O15" s="25" t="n"/>
      <x:c r="P15" s="38">
        <x:f>IF(COUNTA(N15:O15)=0,"",IFERROR(O15/N15,0))</x:f>
      </x:c>
      <x:c r="Q15" s="25" t="n"/>
      <x:c r="R15" s="25" t="n"/>
      <x:c r="S15" s="25" t="n"/>
      <x:c r="T15" s="4" t="n"/>
      <x:c r="U15" s="4" t="n"/>
    </x:row>
    <x:row r="16">
      <x:c r="A16" s="4" t="n"/>
      <x:c r="B16" s="25" t="n"/>
      <x:c r="C16" s="4" t="n"/>
      <x:c r="D16" s="4" t="n"/>
      <x:c r="E16" s="40" t="n"/>
      <x:c r="F16" s="25" t="n"/>
      <x:c r="G16" s="25" t="n"/>
      <x:c r="H16" s="38">
        <x:f>IF(COUNTA(F16:G16)=0,"",IFERROR(G16/F16,0))</x:f>
      </x:c>
      <x:c r="I16" s="25" t="n"/>
      <x:c r="J16" s="25" t="n"/>
      <x:c r="K16" s="25" t="n"/>
      <x:c r="L16" s="38">
        <x:f>IF(COUNTA(J16:K16)=0,"",IFERROR(K16/J16,0))</x:f>
      </x:c>
      <x:c r="M16" s="25" t="n"/>
      <x:c r="N16" s="25" t="n"/>
      <x:c r="O16" s="25" t="n"/>
      <x:c r="P16" s="38">
        <x:f>IF(COUNTA(N16:O16)=0,"",IFERROR(O16/N16,0))</x:f>
      </x:c>
      <x:c r="Q16" s="25" t="n"/>
      <x:c r="R16" s="25" t="n"/>
      <x:c r="S16" s="25" t="n"/>
      <x:c r="T16" s="4" t="n"/>
      <x:c r="U16" s="4" t="n"/>
    </x:row>
    <x:row r="17">
      <x:c r="A17" s="4" t="n"/>
      <x:c r="B17" s="25" t="n"/>
      <x:c r="C17" s="4" t="n"/>
      <x:c r="D17" s="4" t="n"/>
      <x:c r="E17" s="40" t="n"/>
      <x:c r="F17" s="25" t="n"/>
      <x:c r="G17" s="25" t="n"/>
      <x:c r="H17" s="38">
        <x:f>IF(COUNTA(F17:G17)=0,"",IFERROR(G17/F17,0))</x:f>
      </x:c>
      <x:c r="I17" s="25" t="n"/>
      <x:c r="J17" s="25" t="n"/>
      <x:c r="K17" s="25" t="n"/>
      <x:c r="L17" s="38">
        <x:f>IF(COUNTA(J17:K17)=0,"",IFERROR(K17/J17,0))</x:f>
      </x:c>
      <x:c r="M17" s="25" t="n"/>
      <x:c r="N17" s="25" t="n"/>
      <x:c r="O17" s="25" t="n"/>
      <x:c r="P17" s="38">
        <x:f>IF(COUNTA(N17:O17)=0,"",IFERROR(O17/N17,0))</x:f>
      </x:c>
      <x:c r="Q17" s="25" t="n"/>
      <x:c r="R17" s="25" t="n"/>
      <x:c r="S17" s="25" t="n"/>
      <x:c r="T17" s="4" t="n"/>
      <x:c r="U17" s="4" t="n"/>
    </x:row>
    <x:row r="18">
      <x:c r="A18" s="4" t="n"/>
      <x:c r="B18" s="25" t="n"/>
      <x:c r="C18" s="4" t="n"/>
      <x:c r="D18" s="4" t="n"/>
      <x:c r="E18" s="40" t="n"/>
      <x:c r="F18" s="25" t="n"/>
      <x:c r="G18" s="25" t="n"/>
      <x:c r="H18" s="38">
        <x:f>IF(COUNTA(F18:G18)=0,"",IFERROR(G18/F18,0))</x:f>
      </x:c>
      <x:c r="I18" s="25" t="n"/>
      <x:c r="J18" s="25" t="n"/>
      <x:c r="K18" s="25" t="n"/>
      <x:c r="L18" s="38">
        <x:f>IF(COUNTA(J18:K18)=0,"",IFERROR(K18/J18,0))</x:f>
      </x:c>
      <x:c r="M18" s="25" t="n"/>
      <x:c r="N18" s="25" t="n"/>
      <x:c r="O18" s="25" t="n"/>
      <x:c r="P18" s="38">
        <x:f>IF(COUNTA(N18:O18)=0,"",IFERROR(O18/N18,0))</x:f>
      </x:c>
      <x:c r="Q18" s="25" t="n"/>
      <x:c r="R18" s="25" t="n"/>
      <x:c r="S18" s="25" t="n"/>
      <x:c r="T18" s="4" t="n"/>
      <x:c r="U18" s="4" t="n"/>
    </x:row>
    <x:row r="19">
      <x:c r="A19" s="4" t="n"/>
      <x:c r="B19" s="25" t="n"/>
      <x:c r="C19" s="4" t="n"/>
      <x:c r="D19" s="4" t="n"/>
      <x:c r="E19" s="40" t="n"/>
      <x:c r="F19" s="25" t="n"/>
      <x:c r="G19" s="25" t="n"/>
      <x:c r="H19" s="38">
        <x:f>IF(COUNTA(F19:G19)=0,"",IFERROR(G19/F19,0))</x:f>
      </x:c>
      <x:c r="I19" s="25" t="n"/>
      <x:c r="J19" s="25" t="n"/>
      <x:c r="K19" s="25" t="n"/>
      <x:c r="L19" s="38">
        <x:f>IF(COUNTA(J19:K19)=0,"",IFERROR(K19/J19,0))</x:f>
      </x:c>
      <x:c r="M19" s="25" t="n"/>
      <x:c r="N19" s="25" t="n"/>
      <x:c r="O19" s="25" t="n"/>
      <x:c r="P19" s="38">
        <x:f>IF(COUNTA(N19:O19)=0,"",IFERROR(O19/N19,0))</x:f>
      </x:c>
      <x:c r="Q19" s="25" t="n"/>
      <x:c r="R19" s="25" t="n"/>
      <x:c r="S19" s="25" t="n"/>
      <x:c r="T19" s="4" t="n"/>
      <x:c r="U19" s="4" t="n"/>
    </x:row>
    <x:row r="20">
      <x:c r="A20" s="4" t="n"/>
      <x:c r="B20" s="25" t="n"/>
      <x:c r="C20" s="4" t="n"/>
      <x:c r="D20" s="4" t="n"/>
      <x:c r="E20" s="40" t="n"/>
      <x:c r="F20" s="25" t="n"/>
      <x:c r="G20" s="25" t="n"/>
      <x:c r="H20" s="38">
        <x:f>IF(COUNTA(F20:G20)=0,"",IFERROR(G20/F20,0))</x:f>
      </x:c>
      <x:c r="I20" s="25" t="n"/>
      <x:c r="J20" s="25" t="n"/>
      <x:c r="K20" s="25" t="n"/>
      <x:c r="L20" s="38">
        <x:f>IF(COUNTA(J20:K20)=0,"",IFERROR(K20/J20,0))</x:f>
      </x:c>
      <x:c r="M20" s="25" t="n"/>
      <x:c r="N20" s="25" t="n"/>
      <x:c r="O20" s="25" t="n"/>
      <x:c r="P20" s="38">
        <x:f>IF(COUNTA(N20:O20)=0,"",IFERROR(O20/N20,0))</x:f>
      </x:c>
      <x:c r="Q20" s="25" t="n"/>
      <x:c r="R20" s="25" t="n"/>
      <x:c r="S20" s="25" t="n"/>
      <x:c r="T20" s="4" t="n"/>
      <x:c r="U20" s="4" t="n"/>
    </x:row>
    <x:row r="21">
      <x:c r="A21" s="4" t="n"/>
      <x:c r="B21" s="25" t="n"/>
      <x:c r="C21" s="4" t="n"/>
      <x:c r="D21" s="4" t="n"/>
      <x:c r="E21" s="40" t="n"/>
      <x:c r="F21" s="25" t="n"/>
      <x:c r="G21" s="25" t="n"/>
      <x:c r="H21" s="38">
        <x:f>IF(COUNTA(F21:G21)=0,"",IFERROR(G21/F21,0))</x:f>
      </x:c>
      <x:c r="I21" s="25" t="n"/>
      <x:c r="J21" s="25" t="n"/>
      <x:c r="K21" s="25" t="n"/>
      <x:c r="L21" s="38">
        <x:f>IF(COUNTA(J21:K21)=0,"",IFERROR(K21/J21,0))</x:f>
      </x:c>
      <x:c r="M21" s="25" t="n"/>
      <x:c r="N21" s="25" t="n"/>
      <x:c r="O21" s="25" t="n"/>
      <x:c r="P21" s="38">
        <x:f>IF(COUNTA(N21:O21)=0,"",IFERROR(O21/N21,0))</x:f>
      </x:c>
      <x:c r="Q21" s="25" t="n"/>
      <x:c r="R21" s="25" t="n"/>
      <x:c r="S21" s="25" t="n"/>
      <x:c r="T21" s="4" t="n"/>
      <x:c r="U21" s="4" t="n"/>
    </x:row>
    <x:row r="22">
      <x:c r="A22" s="4" t="n"/>
      <x:c r="B22" s="25" t="n"/>
      <x:c r="C22" s="4" t="n"/>
      <x:c r="D22" s="4" t="n"/>
      <x:c r="E22" s="40" t="n"/>
      <x:c r="F22" s="25" t="n"/>
      <x:c r="G22" s="25" t="n"/>
      <x:c r="H22" s="38">
        <x:f>IF(COUNTA(F22:G22)=0,"",IFERROR(G22/F22,0))</x:f>
      </x:c>
      <x:c r="I22" s="25" t="n"/>
      <x:c r="J22" s="25" t="n"/>
      <x:c r="K22" s="25" t="n"/>
      <x:c r="L22" s="38">
        <x:f>IF(COUNTA(J22:K22)=0,"",IFERROR(K22/J22,0))</x:f>
      </x:c>
      <x:c r="M22" s="25" t="n"/>
      <x:c r="N22" s="25" t="n"/>
      <x:c r="O22" s="25" t="n"/>
      <x:c r="P22" s="38">
        <x:f>IF(COUNTA(N22:O22)=0,"",IFERROR(O22/N22,0))</x:f>
      </x:c>
      <x:c r="Q22" s="25" t="n"/>
      <x:c r="R22" s="25" t="n"/>
      <x:c r="S22" s="25" t="n"/>
      <x:c r="T22" s="4" t="n"/>
      <x:c r="U22" s="4" t="n"/>
    </x:row>
    <x:row r="23">
      <x:c r="A23" s="4" t="n"/>
      <x:c r="B23" s="25" t="n"/>
      <x:c r="C23" s="4" t="n"/>
      <x:c r="D23" s="4" t="n"/>
      <x:c r="E23" s="40" t="n"/>
      <x:c r="F23" s="25" t="n"/>
      <x:c r="G23" s="25" t="n"/>
      <x:c r="H23" s="38">
        <x:f>IF(COUNTA(F23:G23)=0,"",IFERROR(G23/F23,0))</x:f>
      </x:c>
      <x:c r="I23" s="25" t="n"/>
      <x:c r="J23" s="25" t="n"/>
      <x:c r="K23" s="25" t="n"/>
      <x:c r="L23" s="38">
        <x:f>IF(COUNTA(J23:K23)=0,"",IFERROR(K23/J23,0))</x:f>
      </x:c>
      <x:c r="M23" s="25" t="n"/>
      <x:c r="N23" s="25" t="n"/>
      <x:c r="O23" s="25" t="n"/>
      <x:c r="P23" s="38">
        <x:f>IF(COUNTA(N23:O23)=0,"",IFERROR(O23/N23,0))</x:f>
      </x:c>
      <x:c r="Q23" s="25" t="n"/>
      <x:c r="R23" s="25" t="n"/>
      <x:c r="S23" s="25" t="n"/>
      <x:c r="T23" s="4" t="n"/>
      <x:c r="U23" s="4" t="n"/>
    </x:row>
  </x:sheetData>
  <x:mergeCells>
    <x:mergeCell ref="A1:U1"/>
    <x:mergeCell ref="A2:U2"/>
  </x:mergeCells>
  <x:dataValidations count="2">
    <x:dataValidation type="list" allowBlank="1" showDropDown="0" showInputMessage="0" showErrorMessage="0" sqref="B4:B23">
      <x:formula1>=PropertyList</x:formula1>
    </x:dataValidation>
    <x:dataValidation type="list" allowBlank="1" showDropDown="0" showInputMessage="0" showErrorMessage="0" sqref="S4:S23">
      <x:formula1>=YesNoList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430ac90eb2450a"/>
  </x:tableParts>
</x:worksheet>
</file>

<file path=xl/worksheets/sheet5.xml><?xml version="1.0" encoding="utf-8"?>
<x:worksheet xmlns:x="http://schemas.openxmlformats.org/spreadsheetml/2006/main">
  <x:sheetPr>
    <x:tabColor rgb="002E8B57"/>
  </x:sheetPr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16" customWidth="1"/>
    <x:col min="4" max="4" width="16" customWidth="1"/>
    <x:col min="5" max="5" width="22" customWidth="1"/>
    <x:col min="6" max="6" width="10" customWidth="1"/>
    <x:col min="7" max="7" width="12" customWidth="1"/>
    <x:col min="8" max="8" width="28" customWidth="1"/>
  </x:cols>
  <x:sheetData>
    <x:row r="1">
      <x:c r="A1" s="1" t="inlineStr">
        <x:is>
          <x:t xml:space="preserve">Monthly Scorecard</x:t>
        </x:is>
      </x:c>
    </x:row>
    <x:row r="2">
      <x:c r="A2" s="2" t="inlineStr">
        <x:is>
          <x:t xml:space="preserve">Rate each pillar 1 to 5. Total score bands: 16-20 Working | 11-15 Mixed | 6-10 Weak | 0-5 Noise.</x:t>
        </x:is>
      </x:c>
    </x:row>
    <x:row r="3">
      <x:c r="A3" s="27" t="inlineStr">
        <x:is>
          <x:t xml:space="preserve">Month</x:t>
        </x:is>
      </x:c>
      <x:c r="B3" s="27" t="inlineStr">
        <x:is>
          <x:t xml:space="preserve">Brand Citation</x:t>
        </x:is>
      </x:c>
      <x:c r="C3" s="27" t="inlineStr">
        <x:is>
          <x:t xml:space="preserve">Topic Ownership</x:t>
        </x:is>
      </x:c>
      <x:c r="D3" s="27" t="inlineStr">
        <x:is>
          <x:t xml:space="preserve">Proof &amp; Trust</x:t>
        </x:is>
      </x:c>
      <x:c r="E3" s="27" t="inlineStr">
        <x:is>
          <x:t xml:space="preserve">Distribution &amp; Feedback</x:t>
        </x:is>
      </x:c>
      <x:c r="F3" s="27" t="inlineStr">
        <x:is>
          <x:t xml:space="preserve">Total</x:t>
        </x:is>
      </x:c>
      <x:c r="G3" s="27" t="inlineStr">
        <x:is>
          <x:t xml:space="preserve">Status</x:t>
        </x:is>
      </x:c>
      <x:c r="H3" s="27" t="inlineStr">
        <x:is>
          <x:t xml:space="preserve">Priority Fix</x:t>
        </x:is>
      </x:c>
    </x:row>
    <x:row r="4">
      <x:c r="A4" s="12" t="inlineStr">
        <x:is>
          <x:t xml:space="preserve">Jan</x:t>
        </x:is>
      </x:c>
      <x:c r="B4" s="25" t="n"/>
      <x:c r="C4" s="25" t="n"/>
      <x:c r="D4" s="25" t="n"/>
      <x:c r="E4" s="25" t="n"/>
      <x:c r="F4" s="28">
        <x:f>IF(COUNTA(B4:E4)=0,"",SUM(B4:E4))</x:f>
      </x:c>
      <x:c r="G4" s="28">
        <x:f>IF(F4="","",IF(F4&gt;=16,"Working",IF(F4&gt;=11,"Mixed",IF(F4&gt;=6,"Weak","Noise"))))</x:f>
      </x:c>
      <x:c r="H4" s="4" t="n"/>
    </x:row>
    <x:row r="5">
      <x:c r="A5" s="12" t="inlineStr">
        <x:is>
          <x:t xml:space="preserve">Feb</x:t>
        </x:is>
      </x:c>
      <x:c r="B5" s="25" t="n"/>
      <x:c r="C5" s="25" t="n"/>
      <x:c r="D5" s="25" t="n"/>
      <x:c r="E5" s="25" t="n"/>
      <x:c r="F5" s="28">
        <x:f>IF(COUNTA(B5:E5)=0,"",SUM(B5:E5))</x:f>
      </x:c>
      <x:c r="G5" s="28">
        <x:f>IF(F5="","",IF(F5&gt;=16,"Working",IF(F5&gt;=11,"Mixed",IF(F5&gt;=6,"Weak","Noise"))))</x:f>
      </x:c>
      <x:c r="H5" s="4" t="n"/>
    </x:row>
    <x:row r="6">
      <x:c r="A6" s="12" t="inlineStr">
        <x:is>
          <x:t xml:space="preserve">Mar</x:t>
        </x:is>
      </x:c>
      <x:c r="B6" s="25" t="n"/>
      <x:c r="C6" s="25" t="n"/>
      <x:c r="D6" s="25" t="n"/>
      <x:c r="E6" s="25" t="n"/>
      <x:c r="F6" s="28">
        <x:f>IF(COUNTA(B6:E6)=0,"",SUM(B6:E6))</x:f>
      </x:c>
      <x:c r="G6" s="28">
        <x:f>IF(F6="","",IF(F6&gt;=16,"Working",IF(F6&gt;=11,"Mixed",IF(F6&gt;=6,"Weak","Noise"))))</x:f>
      </x:c>
      <x:c r="H6" s="4" t="n"/>
    </x:row>
    <x:row r="7">
      <x:c r="A7" s="12" t="inlineStr">
        <x:is>
          <x:t xml:space="preserve">Apr</x:t>
        </x:is>
      </x:c>
      <x:c r="B7" s="25" t="n"/>
      <x:c r="C7" s="25" t="n"/>
      <x:c r="D7" s="25" t="n"/>
      <x:c r="E7" s="25" t="n"/>
      <x:c r="F7" s="28">
        <x:f>IF(COUNTA(B7:E7)=0,"",SUM(B7:E7))</x:f>
      </x:c>
      <x:c r="G7" s="28">
        <x:f>IF(F7="","",IF(F7&gt;=16,"Working",IF(F7&gt;=11,"Mixed",IF(F7&gt;=6,"Weak","Noise"))))</x:f>
      </x:c>
      <x:c r="H7" s="4" t="n"/>
    </x:row>
    <x:row r="8">
      <x:c r="A8" s="12" t="inlineStr">
        <x:is>
          <x:t xml:space="preserve">May</x:t>
        </x:is>
      </x:c>
      <x:c r="B8" s="25" t="n"/>
      <x:c r="C8" s="25" t="n"/>
      <x:c r="D8" s="25" t="n"/>
      <x:c r="E8" s="25" t="n"/>
      <x:c r="F8" s="28">
        <x:f>IF(COUNTA(B8:E8)=0,"",SUM(B8:E8))</x:f>
      </x:c>
      <x:c r="G8" s="28">
        <x:f>IF(F8="","",IF(F8&gt;=16,"Working",IF(F8&gt;=11,"Mixed",IF(F8&gt;=6,"Weak","Noise"))))</x:f>
      </x:c>
      <x:c r="H8" s="4" t="n"/>
    </x:row>
    <x:row r="9">
      <x:c r="A9" s="12" t="inlineStr">
        <x:is>
          <x:t xml:space="preserve">Jun</x:t>
        </x:is>
      </x:c>
      <x:c r="B9" s="25" t="n"/>
      <x:c r="C9" s="25" t="n"/>
      <x:c r="D9" s="25" t="n"/>
      <x:c r="E9" s="25" t="n"/>
      <x:c r="F9" s="28">
        <x:f>IF(COUNTA(B9:E9)=0,"",SUM(B9:E9))</x:f>
      </x:c>
      <x:c r="G9" s="28">
        <x:f>IF(F9="","",IF(F9&gt;=16,"Working",IF(F9&gt;=11,"Mixed",IF(F9&gt;=6,"Weak","Noise"))))</x:f>
      </x:c>
      <x:c r="H9" s="4" t="n"/>
    </x:row>
    <x:row r="10">
      <x:c r="A10" s="12" t="inlineStr">
        <x:is>
          <x:t xml:space="preserve">Jul</x:t>
        </x:is>
      </x:c>
      <x:c r="B10" s="25" t="n"/>
      <x:c r="C10" s="25" t="n"/>
      <x:c r="D10" s="25" t="n"/>
      <x:c r="E10" s="25" t="n"/>
      <x:c r="F10" s="28">
        <x:f>IF(COUNTA(B10:E10)=0,"",SUM(B10:E10))</x:f>
      </x:c>
      <x:c r="G10" s="28">
        <x:f>IF(F10="","",IF(F10&gt;=16,"Working",IF(F10&gt;=11,"Mixed",IF(F10&gt;=6,"Weak","Noise"))))</x:f>
      </x:c>
      <x:c r="H10" s="4" t="n"/>
    </x:row>
    <x:row r="11">
      <x:c r="A11" s="12" t="inlineStr">
        <x:is>
          <x:t xml:space="preserve">Aug</x:t>
        </x:is>
      </x:c>
      <x:c r="B11" s="25" t="n"/>
      <x:c r="C11" s="25" t="n"/>
      <x:c r="D11" s="25" t="n"/>
      <x:c r="E11" s="25" t="n"/>
      <x:c r="F11" s="28">
        <x:f>IF(COUNTA(B11:E11)=0,"",SUM(B11:E11))</x:f>
      </x:c>
      <x:c r="G11" s="28">
        <x:f>IF(F11="","",IF(F11&gt;=16,"Working",IF(F11&gt;=11,"Mixed",IF(F11&gt;=6,"Weak","Noise"))))</x:f>
      </x:c>
      <x:c r="H11" s="4" t="n"/>
    </x:row>
    <x:row r="12">
      <x:c r="A12" s="12" t="inlineStr">
        <x:is>
          <x:t xml:space="preserve">Sep</x:t>
        </x:is>
      </x:c>
      <x:c r="B12" s="25" t="n"/>
      <x:c r="C12" s="25" t="n"/>
      <x:c r="D12" s="25" t="n"/>
      <x:c r="E12" s="25" t="n"/>
      <x:c r="F12" s="28">
        <x:f>IF(COUNTA(B12:E12)=0,"",SUM(B12:E12))</x:f>
      </x:c>
      <x:c r="G12" s="28">
        <x:f>IF(F12="","",IF(F12&gt;=16,"Working",IF(F12&gt;=11,"Mixed",IF(F12&gt;=6,"Weak","Noise"))))</x:f>
      </x:c>
      <x:c r="H12" s="4" t="n"/>
    </x:row>
    <x:row r="13">
      <x:c r="A13" s="12" t="inlineStr">
        <x:is>
          <x:t xml:space="preserve">Oct</x:t>
        </x:is>
      </x:c>
      <x:c r="B13" s="25" t="n"/>
      <x:c r="C13" s="25" t="n"/>
      <x:c r="D13" s="25" t="n"/>
      <x:c r="E13" s="25" t="n"/>
      <x:c r="F13" s="28">
        <x:f>IF(COUNTA(B13:E13)=0,"",SUM(B13:E13))</x:f>
      </x:c>
      <x:c r="G13" s="28">
        <x:f>IF(F13="","",IF(F13&gt;=16,"Working",IF(F13&gt;=11,"Mixed",IF(F13&gt;=6,"Weak","Noise"))))</x:f>
      </x:c>
      <x:c r="H13" s="4" t="n"/>
    </x:row>
    <x:row r="14">
      <x:c r="A14" s="12" t="inlineStr">
        <x:is>
          <x:t xml:space="preserve">Nov</x:t>
        </x:is>
      </x:c>
      <x:c r="B14" s="25" t="n"/>
      <x:c r="C14" s="25" t="n"/>
      <x:c r="D14" s="25" t="n"/>
      <x:c r="E14" s="25" t="n"/>
      <x:c r="F14" s="28">
        <x:f>IF(COUNTA(B14:E14)=0,"",SUM(B14:E14))</x:f>
      </x:c>
      <x:c r="G14" s="28">
        <x:f>IF(F14="","",IF(F14&gt;=16,"Working",IF(F14&gt;=11,"Mixed",IF(F14&gt;=6,"Weak","Noise"))))</x:f>
      </x:c>
      <x:c r="H14" s="4" t="n"/>
    </x:row>
    <x:row r="15">
      <x:c r="A15" s="12" t="inlineStr">
        <x:is>
          <x:t xml:space="preserve">Dec</x:t>
        </x:is>
      </x:c>
      <x:c r="B15" s="25" t="n"/>
      <x:c r="C15" s="25" t="n"/>
      <x:c r="D15" s="25" t="n"/>
      <x:c r="E15" s="25" t="n"/>
      <x:c r="F15" s="28">
        <x:f>IF(COUNTA(B15:E15)=0,"",SUM(B15:E15))</x:f>
      </x:c>
      <x:c r="G15" s="28">
        <x:f>IF(F15="","",IF(F15&gt;=16,"Working",IF(F15&gt;=11,"Mixed",IF(F15&gt;=6,"Weak","Noise"))))</x:f>
      </x:c>
      <x:c r="H15" s="4" t="n"/>
    </x:row>
  </x:sheetData>
  <x:mergeCells>
    <x:mergeCell ref="A2:H2"/>
    <x:mergeCell ref="A1:H1"/>
  </x:mergeCells>
  <x:conditionalFormatting sqref="F4:F15">
    <x:cfRule type="colorScale" priority="1">
      <x:colorScale>
        <x:cfvo type="num" val="0"/>
        <x:cfvo type="num" val="10"/>
        <x:cfvo type="num" val="20"/>
        <x:color rgb="00FDEDEC"/>
        <x:color rgb="00FFF3CD"/>
        <x:color rgb="00D4EDDA"/>
      </x:colorScale>
    </x:cfRule>
  </x:conditionalFormatting>
  <x:dataValidations count="1">
    <x:dataValidation type="whole" operator="between" allowBlank="1" showDropDown="0" showInputMessage="0" showErrorMessage="0" sqref="B4:E1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33efb4ab1d455a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</x:cols>
  <x:sheetData>
    <x:row r="1">
      <x:c r="A1" s="29" t="inlineStr">
        <x:is>
          <x:t xml:space="preserve">Property</x:t>
        </x:is>
      </x:c>
      <x:c r="B1" s="29" t="inlineStr">
        <x:is>
          <x:t xml:space="preserve">Channel</x:t>
        </x:is>
      </x:c>
      <x:c r="C1" s="29" t="inlineStr">
        <x:is>
          <x:t xml:space="preserve">Pillar Focus</x:t>
        </x:is>
      </x:c>
      <x:c r="D1" s="29" t="inlineStr">
        <x:is>
          <x:t xml:space="preserve">YesNo</x:t>
        </x:is>
      </x:c>
      <x:c r="E1" s="29" t="inlineStr">
        <x:is>
          <x:t xml:space="preserve">Platform</x:t>
        </x:is>
      </x:c>
      <x:c r="F1" s="29" t="inlineStr">
        <x:is>
          <x:t xml:space="preserve">Prompt Type</x:t>
        </x:is>
      </x:c>
      <x:c r="G1" s="29" t="inlineStr">
        <x:is>
          <x:t xml:space="preserve">Review Status</x:t>
        </x:is>
      </x:c>
    </x:row>
    <x:row r="2">
      <x:c r="A2" s="29" t="inlineStr">
        <x:is>
          <x:t xml:space="preserve">Bayview Hub</x:t>
        </x:is>
      </x:c>
      <x:c r="B2" s="29" t="inlineStr">
        <x:is>
          <x:t xml:space="preserve">Website</x:t>
        </x:is>
      </x:c>
      <x:c r="C2" s="29" t="inlineStr">
        <x:is>
          <x:t xml:space="preserve">1 - Brand Citation</x:t>
        </x:is>
      </x:c>
      <x:c r="D2" s="29" t="inlineStr">
        <x:is>
          <x:t xml:space="preserve">Yes</x:t>
        </x:is>
      </x:c>
      <x:c r="E2" s="29" t="inlineStr">
        <x:is>
          <x:t xml:space="preserve">ChatGPT</x:t>
        </x:is>
      </x:c>
      <x:c r="F2" s="29" t="inlineStr">
        <x:is>
          <x:t xml:space="preserve">Brand Definition</x:t>
        </x:is>
      </x:c>
      <x:c r="G2" s="29" t="inlineStr">
        <x:is>
          <x:t xml:space="preserve">Working</x:t>
        </x:is>
      </x:c>
    </x:row>
    <x:row r="3">
      <x:c r="A3" s="29" t="inlineStr">
        <x:is>
          <x:t xml:space="preserve">Gallery</x:t>
        </x:is>
      </x:c>
      <x:c r="B3" s="29" t="inlineStr">
        <x:is>
          <x:t xml:space="preserve">LinkedIn</x:t>
        </x:is>
      </x:c>
      <x:c r="C3" s="29" t="inlineStr">
        <x:is>
          <x:t xml:space="preserve">2 - Topic Ownership</x:t>
        </x:is>
      </x:c>
      <x:c r="D3" s="29" t="inlineStr">
        <x:is>
          <x:t xml:space="preserve">No</x:t>
        </x:is>
      </x:c>
      <x:c r="E3" s="29" t="inlineStr">
        <x:is>
          <x:t xml:space="preserve">Perplexity</x:t>
        </x:is>
      </x:c>
      <x:c r="F3" s="29" t="inlineStr">
        <x:is>
          <x:t xml:space="preserve">Topic Query</x:t>
        </x:is>
      </x:c>
      <x:c r="G3" s="29" t="inlineStr">
        <x:is>
          <x:t xml:space="preserve">Mixed</x:t>
        </x:is>
      </x:c>
    </x:row>
    <x:row r="4">
      <x:c r="A4" s="29" t="inlineStr">
        <x:is>
          <x:t xml:space="preserve">SSD</x:t>
        </x:is>
      </x:c>
      <x:c r="B4" s="29" t="inlineStr">
        <x:is>
          <x:t xml:space="preserve">Email</x:t>
        </x:is>
      </x:c>
      <x:c r="C4" s="29" t="inlineStr">
        <x:is>
          <x:t xml:space="preserve">3 - Proof &amp; Trust</x:t>
        </x:is>
      </x:c>
      <x:c r="E4" s="29" t="inlineStr">
        <x:is>
          <x:t xml:space="preserve">Gemini</x:t>
        </x:is>
      </x:c>
      <x:c r="F4" s="29" t="inlineStr">
        <x:is>
          <x:t xml:space="preserve">Competitor Comparison</x:t>
        </x:is>
      </x:c>
      <x:c r="G4" s="29" t="inlineStr">
        <x:is>
          <x:t xml:space="preserve">Weak</x:t>
        </x:is>
      </x:c>
    </x:row>
    <x:row r="5">
      <x:c r="A5" s="29" t="inlineStr">
        <x:is>
          <x:t xml:space="preserve">Open Your Wall</x:t>
        </x:is>
      </x:c>
      <x:c r="B5" s="29" t="inlineStr">
        <x:is>
          <x:t xml:space="preserve">Partner Page</x:t>
        </x:is>
      </x:c>
      <x:c r="C5" s="29" t="inlineStr">
        <x:is>
          <x:t xml:space="preserve">4 - Distribution &amp; Feedback</x:t>
        </x:is>
      </x:c>
      <x:c r="E5" s="29" t="inlineStr">
        <x:is>
          <x:t xml:space="preserve">Claude</x:t>
        </x:is>
      </x:c>
      <x:c r="F5" s="29" t="inlineStr">
        <x:is>
          <x:t xml:space="preserve">Source Test</x:t>
        </x:is>
      </x:c>
      <x:c r="G5" s="29" t="inlineStr">
        <x:is>
          <x:t xml:space="preserve">Noise</x:t>
        </x:is>
      </x:c>
    </x:row>
    <x:row r="6">
      <x:c r="A6" s="29" t="inlineStr">
        <x:is>
          <x:t xml:space="preserve">Mend / Workshops</x:t>
        </x:is>
      </x:c>
      <x:c r="B6" s="29" t="inlineStr">
        <x:is>
          <x:t xml:space="preserve">Media</x:t>
        </x:is>
      </x:c>
      <x:c r="C6" s="29" t="inlineStr">
        <x:is>
          <x:t xml:space="preserve">Mixed</x:t>
        </x:is>
      </x:c>
    </x:row>
    <x:row r="7">
      <x:c r="B7" s="29" t="inlineStr">
        <x:is>
          <x:t xml:space="preserve">Directory</x:t>
        </x:is>
      </x:c>
    </x:row>
    <x:row r="8">
      <x:c r="B8" s="29" t="inlineStr">
        <x:is>
          <x:t xml:space="preserve">Event Listing</x:t>
        </x:is>
      </x:c>
    </x:row>
    <x:row r="9">
      <x:c r="B9" s="29" t="inlineStr">
        <x:is>
          <x:t xml:space="preserve">Podcast / Interview</x:t>
        </x:is>
      </x:c>
    </x:row>
    <x:row r="10">
      <x:c r="B10" s="29" t="inlineStr">
        <x:is>
          <x:t xml:space="preserve">Referral / Other</x:t>
        </x:is>
      </x:c>
    </x:row>
  </x:sheetData>
  <x:pageMargins left="0.7" right="0.7" top="0.75" bottom="0.75" header="0.3" footer="0.3"/>
</x:worksheet>
</file>